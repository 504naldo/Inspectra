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4"/>
    <sheet state="visible" name="FEB" sheetId="2" r:id="rId5"/>
    <sheet state="visible" name="MAR" sheetId="3" r:id="rId6"/>
    <sheet state="visible" name="APR" sheetId="4" r:id="rId7"/>
    <sheet state="visible" name="SPRING" sheetId="5" r:id="rId8"/>
    <sheet state="visible" name="MAY" sheetId="6" r:id="rId9"/>
    <sheet state="visible" name="JUN" sheetId="7" r:id="rId10"/>
    <sheet state="visible" name="JUL" sheetId="8" r:id="rId11"/>
    <sheet state="visible" name="AUG" sheetId="9" r:id="rId12"/>
    <sheet state="visible" name="SEP" sheetId="10" r:id="rId13"/>
    <sheet state="visible" name="WINTER" sheetId="11" r:id="rId14"/>
    <sheet state="visible" name="OCT" sheetId="12" r:id="rId15"/>
    <sheet state="visible" name="NOV" sheetId="13" r:id="rId16"/>
    <sheet state="visible" name="DEC" sheetId="14" r:id="rId17"/>
  </sheets>
  <definedNames/>
  <calcPr/>
  <extLst>
    <ext uri="GoogleSheetsCustomDataVersion2">
      <go:sheetsCustomData xmlns:go="http://customooxmlschemas.google.com/" r:id="rId18" roundtripDataChecksum="lTdzJct0Os0u6pxnMwaONguDPQhybzsHyzUh1DFiaU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7">
      <text>
        <t xml:space="preserve">======
ID#AAABZamKpeM
EWF Scheduling    (2024-11-25 22:13:16)
New FA panel installed in Feb, 2024</t>
      </text>
    </comment>
  </commentList>
  <extLst>
    <ext uri="GoogleSheetsCustomDataVersion2">
      <go:sheetsCustomData xmlns:go="http://customooxmlschemas.google.com/" r:id="rId1" roundtripDataSignature="AMtx7mjtQVDNV1jTkIH1LwOg1CgkRduMf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last kitchen service was done on Oct 29, 2024.  LM
======</t>
      </text>
    </comment>
    <comment authorId="0" ref="D27">
      <text>
        <t xml:space="preserve">======
ID#AAABPGBxtJs
EWF Scheduling    (2024-05-31 16:57:00)
Kitchen service moved to July</t>
      </text>
    </comment>
  </commentList>
  <extLst>
    <ext uri="GoogleSheetsCustomDataVersion2">
      <go:sheetsCustomData xmlns:go="http://customooxmlschemas.google.com/" r:id="rId1" roundtripDataSignature="AMtx7mjI9U5a5FyVPLnXfJNTGa/yYMKYz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4">
      <text>
        <t xml:space="preserve">======
ID#AAABlu8HTFI
EWF Scheduling    (2025-06-16 17:43:51)
As per RD only BF was done.  Need to reschedule Spring service</t>
      </text>
    </comment>
  </commentList>
  <extLst>
    <ext uri="GoogleSheetsCustomDataVersion2">
      <go:sheetsCustomData xmlns:go="http://customooxmlschemas.google.com/" r:id="rId1" roundtripDataSignature="AMtx7mjUPjmWxkebCgWfxlAzHh/JfjjFY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2">
      <text>
        <t xml:space="preserve">======
ID#AAABY-6oMqY
EWF Scheduling    (2024-11-19 22:22:18)
Received invoice from Wells that Hydrants were done on July 30, 2024</t>
      </text>
    </comment>
    <comment authorId="0" ref="J22">
      <text>
        <t xml:space="preserve">======
ID#AAABXK2RBQ4
EWF Scheduling    (2024-10-29 19:48:02)
From 2025 nowards, please schedule with #0562 for early August.</t>
      </text>
    </comment>
  </commentList>
  <extLst>
    <ext uri="GoogleSheetsCustomDataVersion2">
      <go:sheetsCustomData xmlns:go="http://customooxmlschemas.google.com/" r:id="rId1" roundtripDataSignature="AMtx7mjLLQ/1e94cpOtGYu4BEOsf/P12Uw=="/>
    </ext>
  </extLst>
</comments>
</file>

<file path=xl/sharedStrings.xml><?xml version="1.0" encoding="utf-8"?>
<sst xmlns="http://schemas.openxmlformats.org/spreadsheetml/2006/main" count="5449" uniqueCount="953">
  <si>
    <t>JANUARY</t>
  </si>
  <si>
    <t>TECH REPORTS</t>
  </si>
  <si>
    <t>ANNUAL AGREEMENT SIGNED?</t>
  </si>
  <si>
    <t>FILE #</t>
  </si>
  <si>
    <t>CITY</t>
  </si>
  <si>
    <t>SERVICE TYPE</t>
  </si>
  <si>
    <t># OF HRS REQ</t>
  </si>
  <si>
    <t># OF TECHS</t>
  </si>
  <si>
    <t>STAMP/S REQ</t>
  </si>
  <si>
    <t>CONTRACTOR</t>
  </si>
  <si>
    <t>KEYS</t>
  </si>
  <si>
    <t>LAST COMPLETED</t>
  </si>
  <si>
    <t>REPORT IN EMAIL</t>
  </si>
  <si>
    <t>REPAIRS NEEDED</t>
  </si>
  <si>
    <t>REPORT COMPLETE</t>
  </si>
  <si>
    <t>ANNUAL REPORT SENT</t>
  </si>
  <si>
    <t>ASA sent</t>
  </si>
  <si>
    <t>STAMP</t>
  </si>
  <si>
    <t>DEFINITION</t>
  </si>
  <si>
    <t>#0007</t>
  </si>
  <si>
    <t>Vancouver</t>
  </si>
  <si>
    <t>Annual</t>
  </si>
  <si>
    <t>EX, EM</t>
  </si>
  <si>
    <t>No</t>
  </si>
  <si>
    <t>Jan.06/26</t>
  </si>
  <si>
    <t>#0011</t>
  </si>
  <si>
    <t>Richmond</t>
  </si>
  <si>
    <t>FA</t>
  </si>
  <si>
    <t>Fire Alarm</t>
  </si>
  <si>
    <t>#0060</t>
  </si>
  <si>
    <t>FA, EX, EM, WA</t>
  </si>
  <si>
    <t>Yes</t>
  </si>
  <si>
    <t>Jan 29-30/26</t>
  </si>
  <si>
    <t>Report sent to PM by CG on Jan 31</t>
  </si>
  <si>
    <t>EX</t>
  </si>
  <si>
    <t>Fire Extinguisher</t>
  </si>
  <si>
    <t>#0082</t>
  </si>
  <si>
    <t>FA, EX, EM, WA, BF</t>
  </si>
  <si>
    <t>Jan.20/26</t>
  </si>
  <si>
    <t>EM</t>
  </si>
  <si>
    <t>Emergency Lights</t>
  </si>
  <si>
    <t>#0116</t>
  </si>
  <si>
    <t>BF</t>
  </si>
  <si>
    <t>Backflow</t>
  </si>
  <si>
    <t>#0190</t>
  </si>
  <si>
    <t>FA, WA, EX, EM, BF</t>
  </si>
  <si>
    <t>CLOSED</t>
  </si>
  <si>
    <t>SM</t>
  </si>
  <si>
    <t>Smoke Control</t>
  </si>
  <si>
    <t>#0207</t>
  </si>
  <si>
    <t>EX, EM, BF</t>
  </si>
  <si>
    <t xml:space="preserve"> </t>
  </si>
  <si>
    <t>STAMPS HELD</t>
  </si>
  <si>
    <t>Proceedure:</t>
  </si>
  <si>
    <t>#0209</t>
  </si>
  <si>
    <t>Annual minus DPV</t>
  </si>
  <si>
    <t>Jan.7/26</t>
  </si>
  <si>
    <t>RS</t>
  </si>
  <si>
    <t>FA, WA, EX, EM</t>
  </si>
  <si>
    <t>When you open file to schedule a month, first highlight all</t>
  </si>
  <si>
    <t>#0220</t>
  </si>
  <si>
    <t>WA, EX</t>
  </si>
  <si>
    <t>CY</t>
  </si>
  <si>
    <t xml:space="preserve">the current year then change to yellow. Once job is </t>
  </si>
  <si>
    <t>#0255</t>
  </si>
  <si>
    <t>Jan 12/ 26</t>
  </si>
  <si>
    <t>MV</t>
  </si>
  <si>
    <t>FA, WA, EX, EM, BF &amp; FITTER</t>
  </si>
  <si>
    <t xml:space="preserve">completed then change to green or blue if only partially </t>
  </si>
  <si>
    <t>#0350</t>
  </si>
  <si>
    <t>FA, EX, EM</t>
  </si>
  <si>
    <t>GW</t>
  </si>
  <si>
    <t>#0358</t>
  </si>
  <si>
    <t>Jan.30/26</t>
  </si>
  <si>
    <t>TS</t>
  </si>
  <si>
    <t>#0401</t>
  </si>
  <si>
    <t>#0437</t>
  </si>
  <si>
    <t>Burnaby</t>
  </si>
  <si>
    <t>Jan.19/26</t>
  </si>
  <si>
    <t>COLOUR CODE</t>
  </si>
  <si>
    <t>Responsibility</t>
  </si>
  <si>
    <t>#0441</t>
  </si>
  <si>
    <t>Surrey</t>
  </si>
  <si>
    <t>DUE</t>
  </si>
  <si>
    <t>Needs To Be Scheduled</t>
  </si>
  <si>
    <t>##</t>
  </si>
  <si>
    <t>Scheduling Department</t>
  </si>
  <si>
    <t>#0461</t>
  </si>
  <si>
    <t>Annual minus BF &amp; DPV</t>
  </si>
  <si>
    <t>was scheduled &amp; confirmed by onsite then PM emailed and cancelled FILE CLOSED JULY 2025</t>
  </si>
  <si>
    <t>SCHEDULED</t>
  </si>
  <si>
    <t>Scheduled &amp; Confirmed</t>
  </si>
  <si>
    <t>SEMI-COMPLETE</t>
  </si>
  <si>
    <t>Revisit Required To Complete Service</t>
  </si>
  <si>
    <t>Invoicing Department</t>
  </si>
  <si>
    <t>#0516</t>
  </si>
  <si>
    <t>Feb 23-24, 2026</t>
  </si>
  <si>
    <t>COMPLETE</t>
  </si>
  <si>
    <t>Service 100% Complete</t>
  </si>
  <si>
    <t>#0518</t>
  </si>
  <si>
    <t>Jan.12-16/26</t>
  </si>
  <si>
    <t>#0529</t>
  </si>
  <si>
    <t xml:space="preserve">Annual </t>
  </si>
  <si>
    <t>POSTPONED</t>
  </si>
  <si>
    <t>#0540</t>
  </si>
  <si>
    <t>Jan.12/26</t>
  </si>
  <si>
    <t>#0559</t>
  </si>
  <si>
    <t>Coquitlam</t>
  </si>
  <si>
    <t>Hydrants</t>
  </si>
  <si>
    <t>Jan 24, 24</t>
  </si>
  <si>
    <t>TOTAL REMAINING LABOUR HOURS</t>
  </si>
  <si>
    <t>#0583</t>
  </si>
  <si>
    <t>Annual minus DPV &amp; Kitchen</t>
  </si>
  <si>
    <t>FA, EX, EM, BF</t>
  </si>
  <si>
    <t>#0586</t>
  </si>
  <si>
    <t>Feb.27/26</t>
  </si>
  <si>
    <t>#0603</t>
  </si>
  <si>
    <t>CANCELLED</t>
  </si>
  <si>
    <t>#0636</t>
  </si>
  <si>
    <t>#0645</t>
  </si>
  <si>
    <t>FA, EX, EM, BF(JULY)</t>
  </si>
  <si>
    <t>#0661</t>
  </si>
  <si>
    <t>North Vancouver</t>
  </si>
  <si>
    <t>Monthly</t>
  </si>
  <si>
    <t>#0696</t>
  </si>
  <si>
    <t>FA, WA EX, EM</t>
  </si>
  <si>
    <t>#0705</t>
  </si>
  <si>
    <t>#0755</t>
  </si>
  <si>
    <t>WA</t>
  </si>
  <si>
    <t>#0764</t>
  </si>
  <si>
    <t>SURREY</t>
  </si>
  <si>
    <t>#0468</t>
  </si>
  <si>
    <t>DELTA</t>
  </si>
  <si>
    <t>#0801</t>
  </si>
  <si>
    <t>SA</t>
  </si>
  <si>
    <t>was OTC038</t>
  </si>
  <si>
    <t>FEBRUARY</t>
  </si>
  <si>
    <t>#0025</t>
  </si>
  <si>
    <t>Feb.17/26</t>
  </si>
  <si>
    <t>#0026</t>
  </si>
  <si>
    <t>EX, EM, WA</t>
  </si>
  <si>
    <t>Sprinkler</t>
  </si>
  <si>
    <t>#0037</t>
  </si>
  <si>
    <t>AnnuaL</t>
  </si>
  <si>
    <t>#0042</t>
  </si>
  <si>
    <t>FE</t>
  </si>
  <si>
    <t>#0054</t>
  </si>
  <si>
    <t>Annual + Spring as of 2025</t>
  </si>
  <si>
    <t>Feb.11-13/26</t>
  </si>
  <si>
    <t>#0079</t>
  </si>
  <si>
    <t>FA, FE, EL, WA, BF</t>
  </si>
  <si>
    <t>#0202</t>
  </si>
  <si>
    <t>Feb 6/ 26</t>
  </si>
  <si>
    <t>#0221</t>
  </si>
  <si>
    <t>TECH</t>
  </si>
  <si>
    <t>#0270</t>
  </si>
  <si>
    <t>Kitchen</t>
  </si>
  <si>
    <t>#0301</t>
  </si>
  <si>
    <t>#0326</t>
  </si>
  <si>
    <t>West Vancouver</t>
  </si>
  <si>
    <t>Feb 2-4th/26</t>
  </si>
  <si>
    <t>#0360</t>
  </si>
  <si>
    <t>Annual + Wet - Dry</t>
  </si>
  <si>
    <t>FA, WA EX, EM, BF</t>
  </si>
  <si>
    <t>Feb.23-26/26</t>
  </si>
  <si>
    <t>#0409</t>
  </si>
  <si>
    <t>#0413</t>
  </si>
  <si>
    <t>New Westminster</t>
  </si>
  <si>
    <t>Mar 4-6/26</t>
  </si>
  <si>
    <t>#0438</t>
  </si>
  <si>
    <t>Suppression</t>
  </si>
  <si>
    <t>Mar 22, 24</t>
  </si>
  <si>
    <t>Waiting for quote for repair from Acme</t>
  </si>
  <si>
    <t>#0460</t>
  </si>
  <si>
    <t>FEb 10-11/26</t>
  </si>
  <si>
    <t>Delta</t>
  </si>
  <si>
    <t>see Jan tab</t>
  </si>
  <si>
    <t>#0469</t>
  </si>
  <si>
    <t>Dec 22/ 25</t>
  </si>
  <si>
    <t>#0538</t>
  </si>
  <si>
    <t>Feb 11/ 26</t>
  </si>
  <si>
    <t>-</t>
  </si>
  <si>
    <t>#0649</t>
  </si>
  <si>
    <t>Mar.05/25</t>
  </si>
  <si>
    <t>no charge c/o RS</t>
  </si>
  <si>
    <t>Feb.3/26</t>
  </si>
  <si>
    <t>#0686</t>
  </si>
  <si>
    <t>Feb.9/26</t>
  </si>
  <si>
    <t>TOTAL LABOUR HRS:</t>
  </si>
  <si>
    <t>#0687</t>
  </si>
  <si>
    <t>#0688</t>
  </si>
  <si>
    <t>Feb 9/ 26</t>
  </si>
  <si>
    <t>TOTAL AVAILABLE LABOUR HOURS IN THE MONTH</t>
  </si>
  <si>
    <t>Based on 4 Techs in the field. Derived by (days of month divided by 7 then times by 5) x (number of techs times by 8)</t>
  </si>
  <si>
    <t>#0725</t>
  </si>
  <si>
    <t>Port Coquitlam</t>
  </si>
  <si>
    <t>Annual &amp; Hydrants</t>
  </si>
  <si>
    <t>#0748</t>
  </si>
  <si>
    <t>Feb.28/25</t>
  </si>
  <si>
    <t>REMAINING LABOUR HRS</t>
  </si>
  <si>
    <t>#0761</t>
  </si>
  <si>
    <t>#0781</t>
  </si>
  <si>
    <t>FA, EX, EM, DPV, WA, BF</t>
  </si>
  <si>
    <t>YES, KITCHEN</t>
  </si>
  <si>
    <t>NO</t>
  </si>
  <si>
    <t>Kitchen done on Jan 13, 2026</t>
  </si>
  <si>
    <t>#0786</t>
  </si>
  <si>
    <t>Feb.17-19/26</t>
  </si>
  <si>
    <t>#0798</t>
  </si>
  <si>
    <t>new. Due in 2026</t>
  </si>
  <si>
    <t>was OTC043</t>
  </si>
  <si>
    <t>#0765</t>
  </si>
  <si>
    <t>Feb.21/25</t>
  </si>
  <si>
    <t>#0772</t>
  </si>
  <si>
    <t xml:space="preserve">BF  </t>
  </si>
  <si>
    <t>#0330-2</t>
  </si>
  <si>
    <t>#0817</t>
  </si>
  <si>
    <t>#0818</t>
  </si>
  <si>
    <t>EX, EL</t>
  </si>
  <si>
    <t>MARCH</t>
  </si>
  <si>
    <t>#0032</t>
  </si>
  <si>
    <t>#0047</t>
  </si>
  <si>
    <t>#0094</t>
  </si>
  <si>
    <t>EX, WA</t>
  </si>
  <si>
    <t>Russ only</t>
  </si>
  <si>
    <t>#0098</t>
  </si>
  <si>
    <t>FA, WA</t>
  </si>
  <si>
    <t>tech report emailed april 28/25</t>
  </si>
  <si>
    <t>#0114</t>
  </si>
  <si>
    <t>Apr.10/25</t>
  </si>
  <si>
    <t>#0199</t>
  </si>
  <si>
    <t>Annual - Odd years only</t>
  </si>
  <si>
    <t>Declined</t>
  </si>
  <si>
    <t>will call to schedule for April 2025</t>
  </si>
  <si>
    <t>#0203</t>
  </si>
  <si>
    <t>#0216</t>
  </si>
  <si>
    <t>Mar.17/26</t>
  </si>
  <si>
    <t>#0248</t>
  </si>
  <si>
    <t>Hydrant</t>
  </si>
  <si>
    <t>#0259</t>
  </si>
  <si>
    <t>Mar.20/25</t>
  </si>
  <si>
    <t>#0281</t>
  </si>
  <si>
    <t>#0308</t>
  </si>
  <si>
    <t>Mar.13/25</t>
  </si>
  <si>
    <t>#0327</t>
  </si>
  <si>
    <t>#0349</t>
  </si>
  <si>
    <t>Mar.06/25</t>
  </si>
  <si>
    <t>Normally scheduled in September</t>
  </si>
  <si>
    <t>#0371</t>
  </si>
  <si>
    <t>FA, EX, BF</t>
  </si>
  <si>
    <t>#0397</t>
  </si>
  <si>
    <t>May 6-7, 2026</t>
  </si>
  <si>
    <t>#0402</t>
  </si>
  <si>
    <t>Bowen Island</t>
  </si>
  <si>
    <t>CLOSING FILE</t>
  </si>
  <si>
    <t>#0408</t>
  </si>
  <si>
    <t>Mar 16-23/26</t>
  </si>
  <si>
    <t>#0412</t>
  </si>
  <si>
    <t>Feb28, 24</t>
  </si>
  <si>
    <t>delaying inspection a few weeks, contact in April</t>
  </si>
  <si>
    <t>#0444</t>
  </si>
  <si>
    <t>Suppression &amp; Wet Sprinkler</t>
  </si>
  <si>
    <t>waiting for quote from Acme for suppression repair</t>
  </si>
  <si>
    <t>#0449</t>
  </si>
  <si>
    <t>WA, EX, BF</t>
  </si>
  <si>
    <t>Feb 26, 24</t>
  </si>
  <si>
    <t>emailed 3 times and l/m, no response</t>
  </si>
  <si>
    <t>#0477</t>
  </si>
  <si>
    <t>#0478</t>
  </si>
  <si>
    <t>Mar 11 &amp; 13/26</t>
  </si>
  <si>
    <t>#0521</t>
  </si>
  <si>
    <t>Mar 2-3/26</t>
  </si>
  <si>
    <t>#0542</t>
  </si>
  <si>
    <t>#0543</t>
  </si>
  <si>
    <t>#0556</t>
  </si>
  <si>
    <t>Spring &amp; Kitchen</t>
  </si>
  <si>
    <t>#0678</t>
  </si>
  <si>
    <t>Closed file on July 29, 2025</t>
  </si>
  <si>
    <t>#0724</t>
  </si>
  <si>
    <t>#0749</t>
  </si>
  <si>
    <t>Yvonne Denied March Annual</t>
  </si>
  <si>
    <t>#0750</t>
  </si>
  <si>
    <t>#0769</t>
  </si>
  <si>
    <t>Emailed &amp; sent quote - no response</t>
  </si>
  <si>
    <t>#0470-1</t>
  </si>
  <si>
    <t>ANNUAL</t>
  </si>
  <si>
    <t>Mar.18/25</t>
  </si>
  <si>
    <t>Emailed no response</t>
  </si>
  <si>
    <t>#0726</t>
  </si>
  <si>
    <t>As per CY, 5 of 6 FX were serviced by Executive Fire and due for service in Oct, 2026. He only serviced 1 FX.</t>
  </si>
  <si>
    <t>#0787</t>
  </si>
  <si>
    <t>FA, FE, EL</t>
  </si>
  <si>
    <t>emailed</t>
  </si>
  <si>
    <t>#0788</t>
  </si>
  <si>
    <t>--</t>
  </si>
  <si>
    <t>#0789</t>
  </si>
  <si>
    <t>FA, WA, FE, EL, BF</t>
  </si>
  <si>
    <t>#0775</t>
  </si>
  <si>
    <t>FA, FE, EL, BF</t>
  </si>
  <si>
    <t>Only tested BF (Failed)</t>
  </si>
  <si>
    <t>#0175</t>
  </si>
  <si>
    <t>Mar.26/25</t>
  </si>
  <si>
    <t>FE, EL</t>
  </si>
  <si>
    <t>emailed no response</t>
  </si>
  <si>
    <t>#0797</t>
  </si>
  <si>
    <t>#0773</t>
  </si>
  <si>
    <t>FA, EX, EL, BF</t>
  </si>
  <si>
    <t>#0271</t>
  </si>
  <si>
    <t>Last service was Sep 22, 2025</t>
  </si>
  <si>
    <t xml:space="preserve">FA, EX, EL </t>
  </si>
  <si>
    <t>#0819</t>
  </si>
  <si>
    <t>APRIL</t>
  </si>
  <si>
    <t>ASA Sent</t>
  </si>
  <si>
    <t>INVOICE AMOUNT</t>
  </si>
  <si>
    <t>Feb.26,27 &amp;Mar.19/25</t>
  </si>
  <si>
    <t>Moved to Feb tab</t>
  </si>
  <si>
    <t>#0061</t>
  </si>
  <si>
    <t>Sep 15-16, 2025</t>
  </si>
  <si>
    <t>Moved to Sept tab</t>
  </si>
  <si>
    <t>#0062</t>
  </si>
  <si>
    <t>FA, WA, BF</t>
  </si>
  <si>
    <t>DECLINED USED ANOTHER COMPANY</t>
  </si>
  <si>
    <t>acct closed</t>
  </si>
  <si>
    <t>#0100</t>
  </si>
  <si>
    <t>#0107</t>
  </si>
  <si>
    <t>Backflow &amp; DPV Spring</t>
  </si>
  <si>
    <t>WA, BF</t>
  </si>
  <si>
    <t>#0127</t>
  </si>
  <si>
    <t>no report rec'd from tech</t>
  </si>
  <si>
    <t>#0189</t>
  </si>
  <si>
    <t>#0208</t>
  </si>
  <si>
    <t>#0240</t>
  </si>
  <si>
    <t>Apr 14,15,16/25</t>
  </si>
  <si>
    <t>#0276</t>
  </si>
  <si>
    <t>CG</t>
  </si>
  <si>
    <t>FA, WA, EX, EM, BF, SM</t>
  </si>
  <si>
    <t>#0293</t>
  </si>
  <si>
    <t>Apr.23, 24/25</t>
  </si>
  <si>
    <t>#0320</t>
  </si>
  <si>
    <t>Apr.28,29/25</t>
  </si>
  <si>
    <t>#0323</t>
  </si>
  <si>
    <r>
      <rPr>
        <rFont val="Calibri"/>
        <color theme="1"/>
        <sz val="12.0"/>
      </rPr>
      <t xml:space="preserve">Annual + </t>
    </r>
    <r>
      <rPr>
        <rFont val="Calibri"/>
        <color rgb="FFFF0000"/>
        <sz val="12.0"/>
      </rPr>
      <t>Kitchen</t>
    </r>
  </si>
  <si>
    <t>May 5-9,25</t>
  </si>
  <si>
    <t>PM</t>
  </si>
  <si>
    <t>#0329</t>
  </si>
  <si>
    <t>RD</t>
  </si>
  <si>
    <t>TRAINEE</t>
  </si>
  <si>
    <t>#0330</t>
  </si>
  <si>
    <t>EX, DPV Spring, Hydrant &amp; BF</t>
  </si>
  <si>
    <t>FA, WA, EX, BF</t>
  </si>
  <si>
    <t>#0330-1</t>
  </si>
  <si>
    <t>Spring</t>
  </si>
  <si>
    <t>#0334</t>
  </si>
  <si>
    <t>#0415</t>
  </si>
  <si>
    <t>#0442</t>
  </si>
  <si>
    <t>May 12,13/25</t>
  </si>
  <si>
    <t>#0467</t>
  </si>
  <si>
    <t>WA, EX, EM, BF</t>
  </si>
  <si>
    <t>#0513</t>
  </si>
  <si>
    <r>
      <rPr>
        <rFont val="Calibri"/>
        <strike/>
        <color theme="1"/>
        <sz val="12.0"/>
      </rPr>
      <t>Kitchen</t>
    </r>
    <r>
      <rPr>
        <rFont val="Calibri"/>
        <color theme="1"/>
        <sz val="12.0"/>
      </rPr>
      <t xml:space="preserve"> &amp; DPV </t>
    </r>
  </si>
  <si>
    <t>w/annual Mar 13 2025</t>
  </si>
  <si>
    <t>#0569</t>
  </si>
  <si>
    <t>TOTAL LABOUR HOURS:</t>
  </si>
  <si>
    <t>#0609</t>
  </si>
  <si>
    <t>#0646</t>
  </si>
  <si>
    <t>#0652</t>
  </si>
  <si>
    <t>Apr.1/25</t>
  </si>
  <si>
    <t>#0674</t>
  </si>
  <si>
    <t>REQUIRES 1 MONTHS NOTICE!</t>
  </si>
  <si>
    <t>#0728</t>
  </si>
  <si>
    <t>Apr.9/25</t>
  </si>
  <si>
    <t>#0751</t>
  </si>
  <si>
    <t>#0752</t>
  </si>
  <si>
    <t>#0766</t>
  </si>
  <si>
    <t>#0767</t>
  </si>
  <si>
    <t>#0771</t>
  </si>
  <si>
    <t>Apr 29, 24. No response</t>
  </si>
  <si>
    <t>#0780</t>
  </si>
  <si>
    <t>FA, EX, EM, BF, WA</t>
  </si>
  <si>
    <t>BF + T CALLS ONLY</t>
  </si>
  <si>
    <t>#0809</t>
  </si>
  <si>
    <t>Boss Ex</t>
  </si>
  <si>
    <t>New account</t>
  </si>
  <si>
    <t>#0073</t>
  </si>
  <si>
    <t>Mar 24-27, 2026</t>
  </si>
  <si>
    <t>Annual &amp; Suppression</t>
  </si>
  <si>
    <r>
      <rPr>
        <rFont val="Calibri"/>
        <b/>
        <color theme="1"/>
        <sz val="16.0"/>
        <u/>
      </rPr>
      <t>SPRING</t>
    </r>
    <r>
      <rPr>
        <rFont val="Calibri"/>
        <b/>
        <color theme="1"/>
        <sz val="16.0"/>
        <u/>
      </rPr>
      <t xml:space="preserve"> </t>
    </r>
    <r>
      <rPr>
        <rFont val="Calibri"/>
        <b/>
        <color theme="1"/>
        <sz val="14.0"/>
        <u/>
      </rPr>
      <t xml:space="preserve"> </t>
    </r>
    <r>
      <rPr>
        <rFont val="Calibri"/>
        <b/>
        <color theme="1"/>
        <sz val="26.0"/>
        <u/>
      </rPr>
      <t xml:space="preserve">  </t>
    </r>
    <r>
      <rPr>
        <rFont val="Calibri"/>
        <b/>
        <color theme="1"/>
        <sz val="12.0"/>
        <u/>
      </rPr>
      <t xml:space="preserve">(Late March to Late August) </t>
    </r>
    <r>
      <rPr>
        <rFont val="Calibri"/>
        <b/>
        <color rgb="FFFF0000"/>
        <sz val="11.0"/>
        <u/>
      </rPr>
      <t>(ENSURE 2ND TECH FOR FULL TRIP OR EXCESIVE LP's)</t>
    </r>
  </si>
  <si>
    <t>2025 AUDIT DONE ?- Y/N</t>
  </si>
  <si>
    <t>Y</t>
  </si>
  <si>
    <t>#0020</t>
  </si>
  <si>
    <t>DPV</t>
  </si>
  <si>
    <t>#0022</t>
  </si>
  <si>
    <t>N</t>
  </si>
  <si>
    <t>#0024</t>
  </si>
  <si>
    <t>SEPT 12/25</t>
  </si>
  <si>
    <t xml:space="preserve">DPV </t>
  </si>
  <si>
    <t>active acct?</t>
  </si>
  <si>
    <t>#0083</t>
  </si>
  <si>
    <t>#0146</t>
  </si>
  <si>
    <t xml:space="preserve">DONE WITH ANNUAL </t>
  </si>
  <si>
    <t>SEPT 26/25</t>
  </si>
  <si>
    <t>#0183</t>
  </si>
  <si>
    <t>Apr.24/25</t>
  </si>
  <si>
    <t>DPV &amp; Hydrant</t>
  </si>
  <si>
    <t>Apr 14-16, 25</t>
  </si>
  <si>
    <t>DPV done during annual Apr 14-16, 2025.  Still need to schedule Hydrant service</t>
  </si>
  <si>
    <t>#0244</t>
  </si>
  <si>
    <t>#0280</t>
  </si>
  <si>
    <t>#0297</t>
  </si>
  <si>
    <t>sept 17/25</t>
  </si>
  <si>
    <t>#0310</t>
  </si>
  <si>
    <t>SEPT 9/25</t>
  </si>
  <si>
    <t>Not done. No turbidity notice posted c/o CY  Apr 17, 2025</t>
  </si>
  <si>
    <t>#0311</t>
  </si>
  <si>
    <t>#0313</t>
  </si>
  <si>
    <t>DPV &amp; BF</t>
  </si>
  <si>
    <t>Sept 24/25</t>
  </si>
  <si>
    <t>#0369</t>
  </si>
  <si>
    <t>#0445</t>
  </si>
  <si>
    <t>Sept 25/25</t>
  </si>
  <si>
    <t>#0462</t>
  </si>
  <si>
    <t>#0509</t>
  </si>
  <si>
    <t>#0512</t>
  </si>
  <si>
    <t>#0514</t>
  </si>
  <si>
    <t>#0515</t>
  </si>
  <si>
    <t>#0520</t>
  </si>
  <si>
    <t>CLOSED ACCOUNT</t>
  </si>
  <si>
    <t>#0523</t>
  </si>
  <si>
    <t>#0533</t>
  </si>
  <si>
    <t>#0570</t>
  </si>
  <si>
    <t>#0627</t>
  </si>
  <si>
    <t>#0629</t>
  </si>
  <si>
    <t>#0644</t>
  </si>
  <si>
    <t>#0677</t>
  </si>
  <si>
    <t>#0690</t>
  </si>
  <si>
    <t>#0712</t>
  </si>
  <si>
    <t>Sept 23/25</t>
  </si>
  <si>
    <t>#0741</t>
  </si>
  <si>
    <t>#0759</t>
  </si>
  <si>
    <t>Repairs requried 1st</t>
  </si>
  <si>
    <t>#0782</t>
  </si>
  <si>
    <t>sept 25/25</t>
  </si>
  <si>
    <t>#0783</t>
  </si>
  <si>
    <t>#0808</t>
  </si>
  <si>
    <t>MAY</t>
  </si>
  <si>
    <t>#0001</t>
  </si>
  <si>
    <t>#0013</t>
  </si>
  <si>
    <t>Moved to Aug tab</t>
  </si>
  <si>
    <t>sent email (service schedule) aug 1st, 2025</t>
  </si>
  <si>
    <t>#0059</t>
  </si>
  <si>
    <t>#0070</t>
  </si>
  <si>
    <t xml:space="preserve">DPV, BF, Fire Pump </t>
  </si>
  <si>
    <t>Please find the attached 2025 annual inspection report and after service advisory for this property.</t>
  </si>
  <si>
    <t xml:space="preserve">Remark: </t>
  </si>
  <si>
    <t>#0070-1</t>
  </si>
  <si>
    <t>Tank due for HST service in May, 2024 as per Pat @ Great West.  Job starts at 7:00am.  Please confirm the HST charges with Pat.  Dec 18/23 LM</t>
  </si>
  <si>
    <t>#0078</t>
  </si>
  <si>
    <t xml:space="preserve"> Moved to Aug tab</t>
  </si>
  <si>
    <t>#0086</t>
  </si>
  <si>
    <t>FA, EX, EL</t>
  </si>
  <si>
    <t>No reply</t>
  </si>
  <si>
    <t>Sent email(service schedule) Aug 1st, 2025</t>
  </si>
  <si>
    <t>#0088</t>
  </si>
  <si>
    <t>FA, EX, WA, BF</t>
  </si>
  <si>
    <t>2025 Remark:</t>
  </si>
  <si>
    <t>Please also replace 15 sprinkler heads per ASA approved by Susan.</t>
  </si>
  <si>
    <t>BF done during annaul in Jan, 2025</t>
  </si>
  <si>
    <t>#0210</t>
  </si>
  <si>
    <t>#0219</t>
  </si>
  <si>
    <t>#0238</t>
  </si>
  <si>
    <t>Spring &amp; BF</t>
  </si>
  <si>
    <t>#0268</t>
  </si>
  <si>
    <t>#0295</t>
  </si>
  <si>
    <t>#0302</t>
  </si>
  <si>
    <t>Annual &amp; Kitchen</t>
  </si>
  <si>
    <t>EX,</t>
  </si>
  <si>
    <t>#0309</t>
  </si>
  <si>
    <t>June 5 &amp; 6/25</t>
  </si>
  <si>
    <t>#0318</t>
  </si>
  <si>
    <t xml:space="preserve">Spring </t>
  </si>
  <si>
    <t>#0325</t>
  </si>
  <si>
    <t>#0325-1</t>
  </si>
  <si>
    <t>#0331</t>
  </si>
  <si>
    <t>New Westminister</t>
  </si>
  <si>
    <t>June 11,12,13/25</t>
  </si>
  <si>
    <t>#0381</t>
  </si>
  <si>
    <t>Moved to August</t>
  </si>
  <si>
    <t>#0400</t>
  </si>
  <si>
    <t>#0417</t>
  </si>
  <si>
    <t>May 12 &amp; July 23, 25</t>
  </si>
  <si>
    <t>#0418</t>
  </si>
  <si>
    <t>Moved to June tab</t>
  </si>
  <si>
    <t>#0421</t>
  </si>
  <si>
    <t>#0490</t>
  </si>
  <si>
    <t>#0491</t>
  </si>
  <si>
    <t>#0528</t>
  </si>
  <si>
    <t>#0545</t>
  </si>
  <si>
    <t>#0548</t>
  </si>
  <si>
    <t>#0557</t>
  </si>
  <si>
    <t>Sep 5, 25</t>
  </si>
  <si>
    <t>Account for Spring service hours</t>
  </si>
  <si>
    <t>#0577</t>
  </si>
  <si>
    <t>DISCONTINUED SERVICE</t>
  </si>
  <si>
    <t>#0578</t>
  </si>
  <si>
    <t>#0579</t>
  </si>
  <si>
    <t>#0598</t>
  </si>
  <si>
    <t>June 2-4, 25</t>
  </si>
  <si>
    <t>#0602</t>
  </si>
  <si>
    <t>Monthly &amp; DPV</t>
  </si>
  <si>
    <t>#0643</t>
  </si>
  <si>
    <t>MOVED TO OCT</t>
  </si>
  <si>
    <t>#0695</t>
  </si>
  <si>
    <t>#0698</t>
  </si>
  <si>
    <t>#0699</t>
  </si>
  <si>
    <t>#0701</t>
  </si>
  <si>
    <t>May 26-28, 25</t>
  </si>
  <si>
    <t>#0734</t>
  </si>
  <si>
    <t>#0754</t>
  </si>
  <si>
    <t>#0762</t>
  </si>
  <si>
    <t>BF, WA</t>
  </si>
  <si>
    <t>moved to Nov</t>
  </si>
  <si>
    <t>#0776</t>
  </si>
  <si>
    <t>#0779</t>
  </si>
  <si>
    <t>June 4-5, 25</t>
  </si>
  <si>
    <t>#0799</t>
  </si>
  <si>
    <t>#0799-1</t>
  </si>
  <si>
    <t>#0804</t>
  </si>
  <si>
    <t>#0227</t>
  </si>
  <si>
    <t>JUNE</t>
  </si>
  <si>
    <t>Moved to April</t>
  </si>
  <si>
    <t>#0148</t>
  </si>
  <si>
    <t>Moved to Sept</t>
  </si>
  <si>
    <t>#0149</t>
  </si>
  <si>
    <t>FA, EX</t>
  </si>
  <si>
    <t>#0225</t>
  </si>
  <si>
    <t>#0225-1</t>
  </si>
  <si>
    <t>#0225-2</t>
  </si>
  <si>
    <t>#0278</t>
  </si>
  <si>
    <t>DENIED SERVICE</t>
  </si>
  <si>
    <t>#0298</t>
  </si>
  <si>
    <t>Kitchens</t>
  </si>
  <si>
    <t>#0357</t>
  </si>
  <si>
    <t>Annual, Fire Pump &amp; Kitchen</t>
  </si>
  <si>
    <t>Jun 24-26 + Jul 9, 25</t>
  </si>
  <si>
    <t>#0391</t>
  </si>
  <si>
    <t>#0392</t>
  </si>
  <si>
    <t>June 9 &amp; 10/25</t>
  </si>
  <si>
    <t>#0414</t>
  </si>
  <si>
    <t>#0420</t>
  </si>
  <si>
    <t>#0422</t>
  </si>
  <si>
    <t>Dry SPRING &amp; Wet Sprinkler</t>
  </si>
  <si>
    <t>#0447</t>
  </si>
  <si>
    <t>Jun 26 &amp; Jul 7, 25</t>
  </si>
  <si>
    <t>#0479</t>
  </si>
  <si>
    <t>June 16-17, 25</t>
  </si>
  <si>
    <t>#0494</t>
  </si>
  <si>
    <t>#0495</t>
  </si>
  <si>
    <t>#0498</t>
  </si>
  <si>
    <t>WA, EX, EM</t>
  </si>
  <si>
    <t>Moved to Oct tab</t>
  </si>
  <si>
    <t>#0499</t>
  </si>
  <si>
    <t>#0551</t>
  </si>
  <si>
    <t>#0562</t>
  </si>
  <si>
    <t>#0599</t>
  </si>
  <si>
    <t>#0607</t>
  </si>
  <si>
    <t>#0608</t>
  </si>
  <si>
    <t>MOVED, NO LONGER NEEDED</t>
  </si>
  <si>
    <t>close file?</t>
  </si>
  <si>
    <t>#0612</t>
  </si>
  <si>
    <t>Jun 23-24, 25</t>
  </si>
  <si>
    <t>#0635</t>
  </si>
  <si>
    <t>DPV &amp; Archive Rm</t>
  </si>
  <si>
    <t>#0654</t>
  </si>
  <si>
    <t>Discontinued Service</t>
  </si>
  <si>
    <t>#0656</t>
  </si>
  <si>
    <t>#0657</t>
  </si>
  <si>
    <t>#0659</t>
  </si>
  <si>
    <t xml:space="preserve">Annual minus DPV </t>
  </si>
  <si>
    <t>June 16-18, 25</t>
  </si>
  <si>
    <t>June 19-20, 25</t>
  </si>
  <si>
    <t>#0702</t>
  </si>
  <si>
    <t>REFUSED SERVICE</t>
  </si>
  <si>
    <t>#0704</t>
  </si>
  <si>
    <t>#0735</t>
  </si>
  <si>
    <t>#0737</t>
  </si>
  <si>
    <t>Emailed</t>
  </si>
  <si>
    <t>#0739</t>
  </si>
  <si>
    <t>#0746</t>
  </si>
  <si>
    <t>DISCONTINUED
 SERVICE</t>
  </si>
  <si>
    <t>Full Annual</t>
  </si>
  <si>
    <t>Moved to Jan tab</t>
  </si>
  <si>
    <t>FACP was replaced Aug.2024</t>
  </si>
  <si>
    <t>#0760</t>
  </si>
  <si>
    <t>FA, EX, EM, WA,</t>
  </si>
  <si>
    <t>#0048-1</t>
  </si>
  <si>
    <t>#0744</t>
  </si>
  <si>
    <t>Annual &amp; Hydrant</t>
  </si>
  <si>
    <t>#0806</t>
  </si>
  <si>
    <t>JULY</t>
  </si>
  <si>
    <t>NOTES</t>
  </si>
  <si>
    <t>#0018</t>
  </si>
  <si>
    <t>Missing</t>
  </si>
  <si>
    <t>#0058</t>
  </si>
  <si>
    <t>#0101</t>
  </si>
  <si>
    <t>#0117</t>
  </si>
  <si>
    <t>#0133</t>
  </si>
  <si>
    <t>#0164</t>
  </si>
  <si>
    <t>#0172</t>
  </si>
  <si>
    <t>EX, EM, FA, WA, BF</t>
  </si>
  <si>
    <t>#0191</t>
  </si>
  <si>
    <t>BF (4) - 2 in pit (Wells)</t>
  </si>
  <si>
    <t>DO WITH NOV ANNUAL</t>
  </si>
  <si>
    <t>#0229</t>
  </si>
  <si>
    <t>Maple Ridge</t>
  </si>
  <si>
    <t xml:space="preserve">Annual &amp; Hydrant Minus In-Suites </t>
  </si>
  <si>
    <t>#0250</t>
  </si>
  <si>
    <t>Jul 3-4, 25</t>
  </si>
  <si>
    <t>#0305</t>
  </si>
  <si>
    <t>panel to be replaced, holding off on annual</t>
  </si>
  <si>
    <t>#0306</t>
  </si>
  <si>
    <t>Jul 7-8, 25</t>
  </si>
  <si>
    <t>#0328</t>
  </si>
  <si>
    <t>#0341</t>
  </si>
  <si>
    <t xml:space="preserve">Annual     </t>
  </si>
  <si>
    <t>#0342</t>
  </si>
  <si>
    <t>Mid to late July requested</t>
  </si>
  <si>
    <t>#0382</t>
  </si>
  <si>
    <t>#0419</t>
  </si>
  <si>
    <t>Langley</t>
  </si>
  <si>
    <t>#0424</t>
  </si>
  <si>
    <t>EX, EM, DPV</t>
  </si>
  <si>
    <t>#0430</t>
  </si>
  <si>
    <t>#0432</t>
  </si>
  <si>
    <t>Duplicated. See Row 24</t>
  </si>
  <si>
    <t>#0440</t>
  </si>
  <si>
    <t>#0553</t>
  </si>
  <si>
    <t>#0597</t>
  </si>
  <si>
    <t>#0606</t>
  </si>
  <si>
    <t>#0613</t>
  </si>
  <si>
    <t>#0639-1</t>
  </si>
  <si>
    <t>NOVEMBER NOW</t>
  </si>
  <si>
    <t>#0660</t>
  </si>
  <si>
    <t>June 11-12, 25</t>
  </si>
  <si>
    <t>#0662</t>
  </si>
  <si>
    <t>#0730</t>
  </si>
  <si>
    <t>#0736</t>
  </si>
  <si>
    <t>#0753</t>
  </si>
  <si>
    <t>Jul 9-10, 25</t>
  </si>
  <si>
    <t>File Closed 06/12</t>
  </si>
  <si>
    <t>#0756</t>
  </si>
  <si>
    <t>#0757</t>
  </si>
  <si>
    <t>#0439</t>
  </si>
  <si>
    <t>#0575</t>
  </si>
  <si>
    <t>#0805</t>
  </si>
  <si>
    <t>#0450</t>
  </si>
  <si>
    <t>July 17, 2025</t>
  </si>
  <si>
    <t>AUGUST</t>
  </si>
  <si>
    <t>#0010</t>
  </si>
  <si>
    <t>#0027</t>
  </si>
  <si>
    <t>#0066</t>
  </si>
  <si>
    <t>#0068</t>
  </si>
  <si>
    <t>#0128</t>
  </si>
  <si>
    <t>#0213</t>
  </si>
  <si>
    <t>#0242</t>
  </si>
  <si>
    <t>Annual &amp; Kitchen minus EX + Hoses</t>
  </si>
  <si>
    <t>FA, WA, EM</t>
  </si>
  <si>
    <t>Quarterly Inspection + Repairs</t>
  </si>
  <si>
    <t>#0354</t>
  </si>
  <si>
    <t>#0464</t>
  </si>
  <si>
    <t>FA, WA, EX, EM. BF</t>
  </si>
  <si>
    <t>#0465</t>
  </si>
  <si>
    <t>TRAINEE, BF</t>
  </si>
  <si>
    <t>ADD ASA #2 TO ANNUAL INSPECTION</t>
  </si>
  <si>
    <t>#0496</t>
  </si>
  <si>
    <t>#0541</t>
  </si>
  <si>
    <t>#0563</t>
  </si>
  <si>
    <t>We lost this building</t>
  </si>
  <si>
    <t>#0564</t>
  </si>
  <si>
    <t>#0576</t>
  </si>
  <si>
    <t>#0581</t>
  </si>
  <si>
    <t>#0584</t>
  </si>
  <si>
    <t>sold, quote sent to new owner</t>
  </si>
  <si>
    <t>#0585</t>
  </si>
  <si>
    <t>#0591</t>
  </si>
  <si>
    <t>25-26 Aug, 2025</t>
  </si>
  <si>
    <t>#0594</t>
  </si>
  <si>
    <t>Moved to Oct</t>
  </si>
  <si>
    <t>#0605</t>
  </si>
  <si>
    <t>#0610</t>
  </si>
  <si>
    <t>#0614</t>
  </si>
  <si>
    <t>#0615</t>
  </si>
  <si>
    <t>DPV &amp; BF (No S)</t>
  </si>
  <si>
    <t>#0622</t>
  </si>
  <si>
    <t>#0663</t>
  </si>
  <si>
    <t>Annual &amp; BF</t>
  </si>
  <si>
    <t>Aug 5-6, 25</t>
  </si>
  <si>
    <t>REMAINING LABOUR HOURS</t>
  </si>
  <si>
    <t>#0713</t>
  </si>
  <si>
    <t>#0716</t>
  </si>
  <si>
    <t>PLSE NOTE - NEW PM</t>
  </si>
  <si>
    <t>#0717</t>
  </si>
  <si>
    <t>FA &amp; DPV</t>
  </si>
  <si>
    <t>Aug 2024 FACP was replaced</t>
  </si>
  <si>
    <t>#0428</t>
  </si>
  <si>
    <t>#0807</t>
  </si>
  <si>
    <t>#0628</t>
  </si>
  <si>
    <t>BF done on Feb 27, 2026</t>
  </si>
  <si>
    <t>Aug 13/25 &amp; Nov 21/25</t>
  </si>
  <si>
    <t>SEPTEMBER</t>
  </si>
  <si>
    <t>#0002</t>
  </si>
  <si>
    <t>SEPT 9, 25</t>
  </si>
  <si>
    <t>Sept. 15-18th 2025</t>
  </si>
  <si>
    <t>#0072</t>
  </si>
  <si>
    <t>#0095</t>
  </si>
  <si>
    <t>SEPT 29, 25</t>
  </si>
  <si>
    <t>#0111</t>
  </si>
  <si>
    <t>Annual &amp; Winter</t>
  </si>
  <si>
    <t>JS</t>
  </si>
  <si>
    <t>#0158</t>
  </si>
  <si>
    <t>#0159</t>
  </si>
  <si>
    <t>SEPT 23, 25</t>
  </si>
  <si>
    <t>#0201</t>
  </si>
  <si>
    <t>#0222</t>
  </si>
  <si>
    <t>Sep 8-9, 25</t>
  </si>
  <si>
    <t>#0251</t>
  </si>
  <si>
    <t>No notice posted.  Need to reschedule</t>
  </si>
  <si>
    <t>#0315</t>
  </si>
  <si>
    <t>??</t>
  </si>
  <si>
    <t>Moved to July</t>
  </si>
  <si>
    <t>#0343</t>
  </si>
  <si>
    <t>#0347</t>
  </si>
  <si>
    <t>Sept.05/25</t>
  </si>
  <si>
    <t>#0351</t>
  </si>
  <si>
    <t>Annual, Wet Sprinkler &amp; 1st Winter</t>
  </si>
  <si>
    <t>Sept 2-3, 25</t>
  </si>
  <si>
    <t>#0475</t>
  </si>
  <si>
    <t>#0483</t>
  </si>
  <si>
    <t>#0504</t>
  </si>
  <si>
    <t>#0506</t>
  </si>
  <si>
    <t>#0507</t>
  </si>
  <si>
    <t>Sept 22, 25</t>
  </si>
  <si>
    <t>#0555</t>
  </si>
  <si>
    <t>16 + 4(PW)</t>
  </si>
  <si>
    <t>CLOSED ACCT</t>
  </si>
  <si>
    <t>Account for Winter service hours</t>
  </si>
  <si>
    <t>#0617</t>
  </si>
  <si>
    <t>Sept 4, 25</t>
  </si>
  <si>
    <t>#0618</t>
  </si>
  <si>
    <t>Annual plus Spring</t>
  </si>
  <si>
    <t>Sept.10, 25</t>
  </si>
  <si>
    <t>#0619</t>
  </si>
  <si>
    <t>#0626</t>
  </si>
  <si>
    <t>REFUSED AUG 21, 2025</t>
  </si>
  <si>
    <t>Sept 2, 25</t>
  </si>
  <si>
    <t>#0667</t>
  </si>
  <si>
    <t>#0669</t>
  </si>
  <si>
    <t>Sept.9&amp;11/24</t>
  </si>
  <si>
    <t>FA, Wet &amp; Suites</t>
  </si>
  <si>
    <t>no response</t>
  </si>
  <si>
    <t>Fire Pump</t>
  </si>
  <si>
    <t>#0715</t>
  </si>
  <si>
    <t>Sept 19/25</t>
  </si>
  <si>
    <t>#0718</t>
  </si>
  <si>
    <t>SEPT 22, 25</t>
  </si>
  <si>
    <t>#0738</t>
  </si>
  <si>
    <t>#0740</t>
  </si>
  <si>
    <t>#0742</t>
  </si>
  <si>
    <t>Sept 8, 25</t>
  </si>
  <si>
    <t>#0758</t>
  </si>
  <si>
    <t>#0777</t>
  </si>
  <si>
    <t>#0795</t>
  </si>
  <si>
    <t>SEPT 19, 25</t>
  </si>
  <si>
    <t>FA, WA, EX, EM, BF, FP</t>
  </si>
  <si>
    <t>Sep 15-16, 25</t>
  </si>
  <si>
    <t>#0810</t>
  </si>
  <si>
    <t>Sept 12, 25</t>
  </si>
  <si>
    <t>Sept 18, 25</t>
  </si>
  <si>
    <t>#0785</t>
  </si>
  <si>
    <t>FE,EL</t>
  </si>
  <si>
    <t>WINTER</t>
  </si>
  <si>
    <r>
      <rPr>
        <rFont val="Calibri"/>
        <b/>
        <color theme="1"/>
        <sz val="11.0"/>
        <u/>
      </rPr>
      <t>IDEA:</t>
    </r>
    <r>
      <rPr>
        <rFont val="Calibri"/>
        <color theme="1"/>
        <sz val="11.0"/>
      </rPr>
      <t xml:space="preserve"> have an identifying marker</t>
    </r>
  </si>
  <si>
    <t>RICHMOND</t>
  </si>
  <si>
    <t>Winter</t>
  </si>
  <si>
    <t>indicating if a file is a grab &amp; go</t>
  </si>
  <si>
    <t>Nov.13/25</t>
  </si>
  <si>
    <t>VANCOUVER</t>
  </si>
  <si>
    <t xml:space="preserve">Winter </t>
  </si>
  <si>
    <t>NOT REQUIRED 2025</t>
  </si>
  <si>
    <t>WEST VAN</t>
  </si>
  <si>
    <t>Nov.20/25</t>
  </si>
  <si>
    <t>NEW WEST</t>
  </si>
  <si>
    <t>UBC</t>
  </si>
  <si>
    <t>OCT 23RD/25</t>
  </si>
  <si>
    <t>discontinued service</t>
  </si>
  <si>
    <t>LANGLEY</t>
  </si>
  <si>
    <t>SEPT 29,25</t>
  </si>
  <si>
    <t>BURNABY</t>
  </si>
  <si>
    <t>Dec 16 &amp; 31, 2025</t>
  </si>
  <si>
    <t>Dec.04/24</t>
  </si>
  <si>
    <t>Sept.26/25</t>
  </si>
  <si>
    <t>Done with Annual Nov 5, 2025</t>
  </si>
  <si>
    <t>New account - insert here for next year 2025</t>
  </si>
  <si>
    <t>Winter &amp; Kitchen</t>
  </si>
  <si>
    <t>UBC GOLF CLUB</t>
  </si>
  <si>
    <t>DBO 2025</t>
  </si>
  <si>
    <t>#0802</t>
  </si>
  <si>
    <t>#0722</t>
  </si>
  <si>
    <t>OCTOBER</t>
  </si>
  <si>
    <t>#0012</t>
  </si>
  <si>
    <t>no report rec'd</t>
  </si>
  <si>
    <t>OCT 27/25
EMAILED</t>
  </si>
  <si>
    <t xml:space="preserve"> Winter</t>
  </si>
  <si>
    <t>#0038</t>
  </si>
  <si>
    <t>Annual (every even yr)</t>
  </si>
  <si>
    <t>None</t>
  </si>
  <si>
    <t>Next Due 2026</t>
  </si>
  <si>
    <t>Moved to July tab</t>
  </si>
  <si>
    <t>FP, Hoses, BF &amp; Winter</t>
  </si>
  <si>
    <t>SEPT 18 2025</t>
  </si>
  <si>
    <t>Winter move to Nov, 2025</t>
  </si>
  <si>
    <t>#0112</t>
  </si>
  <si>
    <t>#0126</t>
  </si>
  <si>
    <t>FA, WA, EX</t>
  </si>
  <si>
    <t>SEE RUSS</t>
  </si>
  <si>
    <t>file with RS don't schedule</t>
  </si>
  <si>
    <t>#0131</t>
  </si>
  <si>
    <t>NONE</t>
  </si>
  <si>
    <t>#0153</t>
  </si>
  <si>
    <t>#0269</t>
  </si>
  <si>
    <t>Winter &amp; EX + Hoses</t>
  </si>
  <si>
    <t>#0279</t>
  </si>
  <si>
    <t xml:space="preserve">Winter, </t>
  </si>
  <si>
    <t>#0339</t>
  </si>
  <si>
    <t>#0384</t>
  </si>
  <si>
    <t>#0402-1</t>
  </si>
  <si>
    <t>FA, Suites &amp; Winter</t>
  </si>
  <si>
    <t>#0446</t>
  </si>
  <si>
    <t>OCT 20 &amp; 21, 2025</t>
  </si>
  <si>
    <t>Kitchen &amp; Winter</t>
  </si>
  <si>
    <t>#0532</t>
  </si>
  <si>
    <t>Annual, Winter &amp; Kitchen</t>
  </si>
  <si>
    <t>Kitchen was done by Excel Fire in October, 2024 instead of Great West. See 2024 annual report</t>
  </si>
  <si>
    <t>Nov 24 &amp; 25, 2025</t>
  </si>
  <si>
    <t>#0624</t>
  </si>
  <si>
    <t>Moved to Aug</t>
  </si>
  <si>
    <t>#0668</t>
  </si>
  <si>
    <t>#0675</t>
  </si>
  <si>
    <t>#0729</t>
  </si>
  <si>
    <t>OCT 23 &amp; 24, 2025</t>
  </si>
  <si>
    <t>#0743</t>
  </si>
  <si>
    <t>Dec 17/ 25</t>
  </si>
  <si>
    <t>#0763</t>
  </si>
  <si>
    <t>#0784</t>
  </si>
  <si>
    <t>#0811</t>
  </si>
  <si>
    <t>EX, EM, BF, WA</t>
  </si>
  <si>
    <t>#0812</t>
  </si>
  <si>
    <t xml:space="preserve">EX, EM </t>
  </si>
  <si>
    <t>#0074</t>
  </si>
  <si>
    <t>OCT15/16, 25</t>
  </si>
  <si>
    <t>NOVEMBER</t>
  </si>
  <si>
    <t>#0021</t>
  </si>
  <si>
    <t>Winter (+0070-1 K)</t>
  </si>
  <si>
    <t>Kitchen (+0070 Wntr)</t>
  </si>
  <si>
    <t>#0071</t>
  </si>
  <si>
    <t>undeliverable email</t>
  </si>
  <si>
    <t>Winter, EX &amp; EM</t>
  </si>
  <si>
    <t>Nov.26/25</t>
  </si>
  <si>
    <t xml:space="preserve">Annual &amp; Winter </t>
  </si>
  <si>
    <t>Nov.06/24</t>
  </si>
  <si>
    <t>Annual &amp; Winter minus BF</t>
  </si>
  <si>
    <t xml:space="preserve"> No</t>
  </si>
  <si>
    <t>ANNUAL &amp; BF (PIT EQUIP REQ)</t>
  </si>
  <si>
    <t>#0231</t>
  </si>
  <si>
    <t>NO LONGER A SYNAGOGUE</t>
  </si>
  <si>
    <t>Annual FA, EL Kitchen &amp; Winter</t>
  </si>
  <si>
    <t>Annual (+ Winter?)</t>
  </si>
  <si>
    <t>FA, EX, EM,</t>
  </si>
  <si>
    <t>Moved to June</t>
  </si>
  <si>
    <t>notice's not posted in 2023, annual now due May/June 2025</t>
  </si>
  <si>
    <t>4 days</t>
  </si>
  <si>
    <t>2 (3 for suites)</t>
  </si>
  <si>
    <t>Dec 12-18/25</t>
  </si>
  <si>
    <t>#0425</t>
  </si>
  <si>
    <t>Wet Sprinkler &amp; 2nd Winter</t>
  </si>
  <si>
    <t>Nov 28 &amp; Dec 16/25</t>
  </si>
  <si>
    <t>#0455</t>
  </si>
  <si>
    <t>NO LONGER THE SAME TENANT</t>
  </si>
  <si>
    <t>#0480</t>
  </si>
  <si>
    <t>DEC 8-10TH/25</t>
  </si>
  <si>
    <t>#0522</t>
  </si>
  <si>
    <t>DEC 12 &amp; 15 2025</t>
  </si>
  <si>
    <t xml:space="preserve">Based on 4 Techs in the field. Derived by (days of month divided by 7 then times by 5) x (number of techs times by 8) </t>
  </si>
  <si>
    <t>renegotiating a new lease with the landlord, may not req. inspection</t>
  </si>
  <si>
    <t>#0623</t>
  </si>
  <si>
    <t>DEc 22/ 25</t>
  </si>
  <si>
    <t>#0629-1</t>
  </si>
  <si>
    <t>Not scheduled, no access during 5723 collingwood annual</t>
  </si>
  <si>
    <t>#0630</t>
  </si>
  <si>
    <t>#0632</t>
  </si>
  <si>
    <t>FA, WA, EM, BF</t>
  </si>
  <si>
    <t>#0639</t>
  </si>
  <si>
    <t>#0639-2</t>
  </si>
  <si>
    <t>Monthly &amp; Winter</t>
  </si>
  <si>
    <t>Nov.05/25</t>
  </si>
  <si>
    <t>#0673</t>
  </si>
  <si>
    <t>Didn't book annual in Sept.</t>
  </si>
  <si>
    <t>#0719</t>
  </si>
  <si>
    <t>moved to June</t>
  </si>
  <si>
    <t>#0745</t>
  </si>
  <si>
    <t>2.5 days</t>
  </si>
  <si>
    <t>OCT 29-31, 2025</t>
  </si>
  <si>
    <t>#0790</t>
  </si>
  <si>
    <t>moved to august</t>
  </si>
  <si>
    <t>Moved to March</t>
  </si>
  <si>
    <t>Annual &amp; WINTER</t>
  </si>
  <si>
    <t>3 DAYS</t>
  </si>
  <si>
    <t>YES</t>
  </si>
  <si>
    <t>NOV 17-19, 2025</t>
  </si>
  <si>
    <t>DECEMBER</t>
  </si>
  <si>
    <t>#0015</t>
  </si>
  <si>
    <t>#0052</t>
  </si>
  <si>
    <t>#0080</t>
  </si>
  <si>
    <t>#0163</t>
  </si>
  <si>
    <t>Jan.06/25</t>
  </si>
  <si>
    <t>#0203 - 2024 annual schedule for early Dec, 2024 as a new FA panel was replaced on Dec 27, 2023 (still under warranty). LM</t>
  </si>
  <si>
    <t>Dec.16/24</t>
  </si>
  <si>
    <t>CLOSED ACC</t>
  </si>
  <si>
    <t>Quarterly, Kitchens, Inspection + Repairs</t>
  </si>
  <si>
    <t>Kitchen - Great West only)</t>
  </si>
  <si>
    <t>March &amp; Sept</t>
  </si>
  <si>
    <t>Dec.27/24</t>
  </si>
  <si>
    <t>Jan.30/25</t>
  </si>
  <si>
    <t>Kitchen (Erin to book)</t>
  </si>
  <si>
    <t>#0458</t>
  </si>
  <si>
    <t>#0492</t>
  </si>
  <si>
    <t>Cancelled</t>
  </si>
  <si>
    <t>#0526</t>
  </si>
  <si>
    <t>#0530</t>
  </si>
  <si>
    <t>#0635-1</t>
  </si>
  <si>
    <t>Dec.02/25</t>
  </si>
  <si>
    <t>#0676</t>
  </si>
  <si>
    <t>Dec.10/25</t>
  </si>
  <si>
    <t>#0714</t>
  </si>
  <si>
    <t>#0720</t>
  </si>
  <si>
    <t>#0721</t>
  </si>
  <si>
    <t>DECLINED</t>
  </si>
  <si>
    <t>Dec 1-3, 2025</t>
  </si>
  <si>
    <t>#0791</t>
  </si>
  <si>
    <t>#0387</t>
  </si>
  <si>
    <t>#0815</t>
  </si>
  <si>
    <t>EX, EL, BF</t>
  </si>
  <si>
    <t>#0813</t>
  </si>
  <si>
    <t>#0814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</si>
</sst>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mmm d, yyyy"/>
    <numFmt numFmtId="165" formatCode="mmm d/yy"/>
    <numFmt numFmtId="166" formatCode="mmmm d/yy"/>
    <numFmt numFmtId="167" formatCode="mmm d, yy"/>
    <numFmt numFmtId="168" formatCode="mmm&quot; &quot;d&quot;/&quot;yy"/>
    <numFmt numFmtId="169" formatCode="mmm. d/yy"/>
    <numFmt numFmtId="170" formatCode="mmm&quot; &quot;d&quot;, &quot;yy"/>
    <numFmt numFmtId="171" formatCode="mmmm d, yyyy"/>
    <numFmt numFmtId="172" formatCode="d mmm, yyyy"/>
    <numFmt numFmtId="173" formatCode="mmmm d, yy"/>
    <numFmt numFmtId="174" formatCode="mmmm d ,yy"/>
    <numFmt numFmtId="175" formatCode="mmmm&quot; &quot;d&quot;, &quot;yyyy"/>
    <numFmt numFmtId="176" formatCode="mmmd, yy"/>
    <numFmt numFmtId="177" formatCode="mmm&quot;/&quot;d&quot;/&quot;yy"/>
    <numFmt numFmtId="178" formatCode="mmm d,yy"/>
    <numFmt numFmtId="179" formatCode="mmm&quot; &quot;d&quot;, &quot;yyyy"/>
    <numFmt numFmtId="180" formatCode="mmm&quot; &quot;dd&quot;,&quot;yy"/>
    <numFmt numFmtId="181" formatCode="mmm d/yyyy"/>
    <numFmt numFmtId="182" formatCode="mmm d yyyy"/>
    <numFmt numFmtId="183" formatCode="mmm d yy"/>
    <numFmt numFmtId="184" formatCode="mmm&quot; &quot;d&quot;/&quot;yyyy"/>
  </numFmts>
  <fonts count="92">
    <font>
      <sz val="11.0"/>
      <color theme="1"/>
      <name val="Calibri"/>
      <scheme val="minor"/>
    </font>
    <font>
      <b/>
      <u/>
      <sz val="26.0"/>
      <color theme="1"/>
      <name val="Calibri"/>
    </font>
    <font>
      <b/>
      <u/>
      <sz val="26.0"/>
      <color theme="1"/>
      <name val="Calibri"/>
    </font>
    <font/>
    <font>
      <b/>
      <u/>
      <sz val="18.0"/>
      <color theme="1"/>
      <name val="Calibri"/>
    </font>
    <font>
      <color theme="1"/>
      <name val="Calibri"/>
      <scheme val="minor"/>
    </font>
    <font>
      <b/>
      <u/>
      <sz val="10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trike/>
      <sz val="12.0"/>
      <color theme="1"/>
      <name val="Calibri"/>
    </font>
    <font>
      <sz val="11.0"/>
      <color rgb="FF000000"/>
      <name val="Calibri"/>
    </font>
    <font>
      <b/>
      <u/>
      <sz val="14.0"/>
      <color theme="1"/>
      <name val="Calibri"/>
    </font>
    <font>
      <b/>
      <u/>
      <sz val="11.0"/>
      <color theme="1"/>
      <name val="Calibri"/>
    </font>
    <font>
      <b/>
      <u/>
      <sz val="12.0"/>
      <color theme="1"/>
      <name val="Calibri"/>
    </font>
    <font>
      <b/>
      <sz val="11.0"/>
      <color theme="1"/>
      <name val="Calibri"/>
    </font>
    <font>
      <strike/>
      <sz val="11.0"/>
      <color theme="1"/>
      <name val="Calibri"/>
    </font>
    <font>
      <strike/>
      <color theme="1"/>
      <name val="Calibri"/>
      <scheme val="minor"/>
    </font>
    <font>
      <sz val="12.0"/>
      <color rgb="FF000000"/>
      <name val="Calibri"/>
    </font>
    <font>
      <b/>
      <u/>
      <sz val="26.0"/>
      <color theme="1"/>
      <name val="Calibri"/>
    </font>
    <font>
      <b/>
      <u/>
      <sz val="26.0"/>
      <color theme="1"/>
      <name val="Calibri"/>
    </font>
    <font>
      <b/>
      <u/>
      <sz val="11.0"/>
      <color theme="1"/>
      <name val="Calibri"/>
    </font>
    <font>
      <b/>
      <color theme="1"/>
      <name val="Calibri"/>
      <scheme val="minor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rgb="FFFF0000"/>
      <name val="Calibri"/>
    </font>
    <font>
      <b/>
      <u/>
      <sz val="26.0"/>
      <color theme="1"/>
      <name val="Calibri"/>
    </font>
    <font>
      <b/>
      <u/>
      <sz val="26.0"/>
      <color theme="1"/>
      <name val="Calibri"/>
    </font>
    <font>
      <b/>
      <u/>
      <sz val="8.0"/>
      <color theme="1"/>
      <name val="Calibri"/>
    </font>
    <font>
      <b/>
      <u/>
      <sz val="11.0"/>
      <color theme="1"/>
      <name val="Calibri"/>
    </font>
    <font>
      <b/>
      <strike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strike/>
      <sz val="12.0"/>
      <color theme="1"/>
      <name val="Calibri"/>
    </font>
    <font>
      <b/>
      <u/>
      <sz val="26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Arial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2.0"/>
      <color rgb="FF000000"/>
      <name val="&quot;Arial&quot;"/>
    </font>
    <font>
      <b/>
      <sz val="12.0"/>
      <color rgb="FFFF0000"/>
      <name val="&quot;Arial&quot;"/>
    </font>
    <font>
      <sz val="11.0"/>
      <color rgb="FFFFFFFF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sz val="11.0"/>
      <color rgb="FFFF0000"/>
      <name val="Calibri"/>
    </font>
    <font>
      <strike/>
      <sz val="12.0"/>
      <color rgb="FF000000"/>
      <name val="Calibri"/>
    </font>
    <font>
      <b/>
      <u/>
      <sz val="9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rgb="FF434343"/>
      <name val="Calibri"/>
    </font>
    <font>
      <b/>
      <u/>
      <sz val="18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8.0"/>
      <color theme="1"/>
      <name val="Calibri"/>
    </font>
    <font>
      <b/>
      <u/>
      <sz val="11.0"/>
      <color theme="1"/>
      <name val="Calibri"/>
    </font>
    <font>
      <b/>
      <u/>
      <sz val="26.0"/>
      <color theme="1"/>
      <name val="Calibri"/>
    </font>
    <font>
      <b/>
      <u/>
      <sz val="11.0"/>
      <color theme="1"/>
      <name val="Calibri"/>
    </font>
    <font>
      <sz val="12.0"/>
      <color rgb="FF222222"/>
      <name val="Calibri"/>
    </font>
    <font>
      <sz val="11.0"/>
      <color rgb="FF222222"/>
      <name val="Calibri"/>
    </font>
    <font>
      <strike/>
      <sz val="11.0"/>
      <color rgb="FF00000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0.0"/>
      <color theme="1"/>
      <name val="Calibri"/>
    </font>
    <font>
      <sz val="22.0"/>
      <color theme="1"/>
      <name val="Calibri"/>
    </font>
    <font>
      <b/>
      <sz val="14.0"/>
      <color theme="1"/>
      <name val="Calibri"/>
    </font>
    <font>
      <strike/>
      <sz val="11.0"/>
      <color rgb="FFFF0000"/>
      <name val="Calibri"/>
    </font>
    <font>
      <b/>
      <u/>
      <sz val="26.0"/>
      <color theme="1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>
      <color rgb="FF222222"/>
      <name val="Arial"/>
    </font>
    <font>
      <b/>
      <color rgb="FFFF0000"/>
      <name val="Calibri"/>
      <scheme val="minor"/>
    </font>
    <font>
      <color rgb="FFFF0000"/>
      <name val="Calibri"/>
      <scheme val="minor"/>
    </font>
    <font>
      <b/>
      <u/>
      <sz val="11.0"/>
      <color theme="1"/>
      <name val="Calibri"/>
    </font>
    <font>
      <b/>
      <u/>
      <sz val="12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DD6EE"/>
        <bgColor rgb="FFBDD6EE"/>
      </patternFill>
    </fill>
    <fill>
      <patternFill patternType="solid">
        <fgColor rgb="FFA64D79"/>
        <bgColor rgb="FFA64D79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theme="5"/>
        <bgColor theme="5"/>
      </patternFill>
    </fill>
    <fill>
      <patternFill patternType="solid">
        <fgColor rgb="FF6AA84F"/>
        <bgColor rgb="FF6AA84F"/>
      </patternFill>
    </fill>
  </fills>
  <borders count="6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horizontal="center" readingOrder="0" shrinkToFit="0" vertical="center" wrapText="1"/>
    </xf>
    <xf borderId="0" fillId="4" fontId="5" numFmtId="0" xfId="0" applyFill="1" applyFont="1"/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shrinkToFit="0" vertical="center" wrapText="1"/>
    </xf>
    <xf borderId="4" fillId="0" fontId="10" numFmtId="17" xfId="0" applyAlignment="1" applyBorder="1" applyFont="1" applyNumberFormat="1">
      <alignment horizontal="center" shrinkToFit="0" vertical="center" wrapText="1"/>
    </xf>
    <xf borderId="5" fillId="0" fontId="11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vertical="center"/>
    </xf>
    <xf borderId="8" fillId="0" fontId="13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15" numFmtId="0" xfId="0" applyAlignment="1" applyBorder="1" applyFont="1">
      <alignment readingOrder="0" shrinkToFit="0" wrapText="1"/>
    </xf>
    <xf borderId="12" fillId="0" fontId="16" numFmtId="0" xfId="0" applyAlignment="1" applyBorder="1" applyFont="1">
      <alignment horizontal="center" vertical="center"/>
    </xf>
    <xf borderId="12" fillId="0" fontId="16" numFmtId="0" xfId="0" applyAlignment="1" applyBorder="1" applyFont="1">
      <alignment horizontal="center" readingOrder="0" vertical="center"/>
    </xf>
    <xf borderId="12" fillId="0" fontId="16" numFmtId="0" xfId="0" applyAlignment="1" applyBorder="1" applyFont="1">
      <alignment horizontal="center"/>
    </xf>
    <xf borderId="12" fillId="0" fontId="16" numFmtId="0" xfId="0" applyAlignment="1" applyBorder="1" applyFont="1">
      <alignment horizontal="center" shrinkToFit="0" wrapText="1"/>
    </xf>
    <xf borderId="12" fillId="5" fontId="16" numFmtId="0" xfId="0" applyAlignment="1" applyBorder="1" applyFill="1" applyFont="1">
      <alignment horizontal="center" readingOrder="0" shrinkToFit="0" vertical="center" wrapText="1"/>
    </xf>
    <xf borderId="0" fillId="0" fontId="16" numFmtId="0" xfId="0" applyAlignment="1" applyFont="1">
      <alignment horizontal="center" vertical="center"/>
    </xf>
    <xf borderId="13" fillId="0" fontId="16" numFmtId="0" xfId="0" applyAlignment="1" applyBorder="1" applyFont="1">
      <alignment horizontal="center" vertical="center"/>
    </xf>
    <xf borderId="11" fillId="0" fontId="16" numFmtId="0" xfId="0" applyAlignment="1" applyBorder="1" applyFont="1">
      <alignment horizontal="center" vertical="center"/>
    </xf>
    <xf borderId="11" fillId="0" fontId="16" numFmtId="0" xfId="0" applyAlignment="1" applyBorder="1" applyFont="1">
      <alignment horizontal="center" readingOrder="0" vertical="center"/>
    </xf>
    <xf borderId="11" fillId="0" fontId="16" numFmtId="0" xfId="0" applyAlignment="1" applyBorder="1" applyFont="1">
      <alignment horizontal="center"/>
    </xf>
    <xf borderId="11" fillId="0" fontId="16" numFmtId="0" xfId="0" applyAlignment="1" applyBorder="1" applyFont="1">
      <alignment horizontal="center" shrinkToFit="0" wrapText="1"/>
    </xf>
    <xf borderId="14" fillId="5" fontId="16" numFmtId="164" xfId="0" applyAlignment="1" applyBorder="1" applyFont="1" applyNumberFormat="1">
      <alignment horizontal="center" readingOrder="0"/>
    </xf>
    <xf borderId="15" fillId="0" fontId="16" numFmtId="0" xfId="0" applyAlignment="1" applyBorder="1" applyFont="1">
      <alignment horizontal="center" vertical="center"/>
    </xf>
    <xf borderId="16" fillId="0" fontId="3" numFmtId="0" xfId="0" applyBorder="1" applyFont="1"/>
    <xf borderId="11" fillId="0" fontId="16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readingOrder="0" shrinkToFit="0" vertical="center" wrapText="1"/>
    </xf>
    <xf borderId="14" fillId="5" fontId="16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readingOrder="0" vertical="center"/>
    </xf>
    <xf borderId="6" fillId="0" fontId="16" numFmtId="0" xfId="0" applyAlignment="1" applyBorder="1" applyFont="1">
      <alignment horizontal="center" vertical="center"/>
    </xf>
    <xf borderId="17" fillId="0" fontId="3" numFmtId="0" xfId="0" applyBorder="1" applyFont="1"/>
    <xf borderId="11" fillId="5" fontId="16" numFmtId="0" xfId="0" applyAlignment="1" applyBorder="1" applyFont="1">
      <alignment horizontal="center" readingOrder="0" shrinkToFit="0" vertical="center" wrapText="1"/>
    </xf>
    <xf borderId="14" fillId="5" fontId="16" numFmtId="165" xfId="0" applyAlignment="1" applyBorder="1" applyFont="1" applyNumberFormat="1">
      <alignment horizontal="center" readingOrder="0"/>
    </xf>
    <xf borderId="18" fillId="0" fontId="15" numFmtId="0" xfId="0" applyAlignment="1" applyBorder="1" applyFont="1">
      <alignment shrinkToFit="0" vertical="bottom" wrapText="0"/>
    </xf>
    <xf borderId="19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11" fillId="0" fontId="17" numFmtId="0" xfId="0" applyAlignment="1" applyBorder="1" applyFont="1">
      <alignment horizontal="center" vertical="center"/>
    </xf>
    <xf borderId="11" fillId="0" fontId="17" numFmtId="0" xfId="0" applyAlignment="1" applyBorder="1" applyFont="1">
      <alignment horizontal="center" readingOrder="0" vertical="center"/>
    </xf>
    <xf borderId="11" fillId="0" fontId="17" numFmtId="0" xfId="0" applyAlignment="1" applyBorder="1" applyFont="1">
      <alignment horizontal="center" shrinkToFit="0" wrapText="1"/>
    </xf>
    <xf borderId="11" fillId="2" fontId="1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11" fillId="0" fontId="15" numFmtId="0" xfId="0" applyAlignment="1" applyBorder="1" applyFont="1">
      <alignment horizontal="center" readingOrder="0" vertical="center"/>
    </xf>
    <xf borderId="6" fillId="0" fontId="15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left" readingOrder="0" shrinkToFit="0" vertical="bottom" wrapText="0"/>
    </xf>
    <xf borderId="20" fillId="0" fontId="3" numFmtId="0" xfId="0" applyBorder="1" applyFont="1"/>
    <xf borderId="21" fillId="6" fontId="19" numFmtId="0" xfId="0" applyBorder="1" applyFill="1" applyFont="1"/>
    <xf borderId="22" fillId="6" fontId="15" numFmtId="0" xfId="0" applyBorder="1" applyFont="1"/>
    <xf borderId="23" fillId="6" fontId="15" numFmtId="0" xfId="0" applyBorder="1" applyFont="1"/>
    <xf borderId="11" fillId="0" fontId="16" numFmtId="0" xfId="0" applyAlignment="1" applyBorder="1" applyFont="1">
      <alignment horizontal="center" readingOrder="0" shrinkToFit="0" wrapText="1"/>
    </xf>
    <xf borderId="14" fillId="5" fontId="16" numFmtId="0" xfId="0" applyAlignment="1" applyBorder="1" applyFont="1">
      <alignment horizontal="center" readingOrder="0" shrinkToFit="0" vertical="center" wrapText="1"/>
    </xf>
    <xf borderId="11" fillId="0" fontId="18" numFmtId="0" xfId="0" applyAlignment="1" applyBorder="1" applyFont="1">
      <alignment readingOrder="0" shrinkToFit="0" wrapText="1"/>
    </xf>
    <xf borderId="12" fillId="0" fontId="15" numFmtId="0" xfId="0" applyAlignment="1" applyBorder="1" applyFont="1">
      <alignment horizontal="center" vertical="center"/>
    </xf>
    <xf borderId="15" fillId="0" fontId="15" numFmtId="0" xfId="0" applyAlignment="1" applyBorder="1" applyFont="1">
      <alignment horizontal="center"/>
    </xf>
    <xf borderId="24" fillId="6" fontId="15" numFmtId="0" xfId="0" applyBorder="1" applyFont="1"/>
    <xf borderId="25" fillId="6" fontId="15" numFmtId="0" xfId="0" applyBorder="1" applyFont="1"/>
    <xf borderId="26" fillId="6" fontId="15" numFmtId="0" xfId="0" applyBorder="1" applyFont="1"/>
    <xf borderId="11" fillId="0" fontId="15" numFmtId="0" xfId="0" applyAlignment="1" applyBorder="1" applyFont="1">
      <alignment horizontal="center"/>
    </xf>
    <xf borderId="15" fillId="0" fontId="15" numFmtId="0" xfId="0" applyAlignment="1" applyBorder="1" applyFont="1">
      <alignment horizontal="center" vertical="bottom"/>
    </xf>
    <xf borderId="11" fillId="0" fontId="16" numFmtId="0" xfId="0" applyAlignment="1" applyBorder="1" applyFont="1">
      <alignment horizontal="center" readingOrder="0"/>
    </xf>
    <xf borderId="14" fillId="5" fontId="16" numFmtId="0" xfId="0" applyAlignment="1" applyBorder="1" applyFont="1">
      <alignment horizontal="center" readingOrder="0"/>
    </xf>
    <xf borderId="6" fillId="0" fontId="15" numFmtId="0" xfId="0" applyAlignment="1" applyBorder="1" applyFont="1">
      <alignment horizontal="center" shrinkToFit="0" vertical="bottom" wrapText="1"/>
    </xf>
    <xf borderId="25" fillId="6" fontId="15" numFmtId="0" xfId="0" applyAlignment="1" applyBorder="1" applyFont="1">
      <alignment shrinkToFit="0" wrapText="1"/>
    </xf>
    <xf borderId="26" fillId="6" fontId="15" numFmtId="0" xfId="0" applyAlignment="1" applyBorder="1" applyFont="1">
      <alignment shrinkToFit="0" wrapText="1"/>
    </xf>
    <xf borderId="6" fillId="0" fontId="15" numFmtId="0" xfId="0" applyAlignment="1" applyBorder="1" applyFont="1">
      <alignment horizontal="center" vertical="bottom"/>
    </xf>
    <xf borderId="0" fillId="0" fontId="16" numFmtId="0" xfId="0" applyAlignment="1" applyFont="1">
      <alignment horizontal="left" vertical="center"/>
    </xf>
    <xf borderId="0" fillId="0" fontId="15" numFmtId="0" xfId="0" applyAlignment="1" applyFont="1">
      <alignment horizontal="left" vertical="center"/>
    </xf>
    <xf borderId="6" fillId="0" fontId="15" numFmtId="0" xfId="0" applyAlignment="1" applyBorder="1" applyFont="1">
      <alignment horizontal="center" readingOrder="0"/>
    </xf>
    <xf borderId="14" fillId="5" fontId="16" numFmtId="164" xfId="0" applyAlignment="1" applyBorder="1" applyFont="1" applyNumberFormat="1">
      <alignment horizontal="center" readingOrder="0" shrinkToFit="0" wrapText="1"/>
    </xf>
    <xf borderId="27" fillId="0" fontId="20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0" fillId="0" fontId="21" numFmtId="0" xfId="0" applyFont="1"/>
    <xf borderId="30" fillId="7" fontId="22" numFmtId="0" xfId="0" applyAlignment="1" applyBorder="1" applyFill="1" applyFont="1">
      <alignment horizontal="center"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11" fillId="0" fontId="17" numFmtId="0" xfId="0" applyAlignment="1" applyBorder="1" applyFont="1">
      <alignment horizontal="center" readingOrder="0" shrinkToFit="0" vertical="center" wrapText="1"/>
    </xf>
    <xf borderId="11" fillId="7" fontId="16" numFmtId="0" xfId="0" applyAlignment="1" applyBorder="1" applyFont="1">
      <alignment horizontal="center" readingOrder="0"/>
    </xf>
    <xf borderId="0" fillId="0" fontId="5" numFmtId="0" xfId="0" applyAlignment="1" applyFont="1">
      <alignment readingOrder="0" shrinkToFit="0" wrapText="1"/>
    </xf>
    <xf borderId="30" fillId="8" fontId="22" numFmtId="0" xfId="0" applyAlignment="1" applyBorder="1" applyFill="1" applyFont="1">
      <alignment horizontal="center" shrinkToFit="0" vertical="center" wrapText="1"/>
    </xf>
    <xf borderId="11" fillId="7" fontId="16" numFmtId="166" xfId="0" applyAlignment="1" applyBorder="1" applyFont="1" applyNumberFormat="1">
      <alignment horizontal="center" readingOrder="0"/>
    </xf>
    <xf borderId="30" fillId="9" fontId="22" numFmtId="0" xfId="0" applyAlignment="1" applyBorder="1" applyFill="1" applyFont="1">
      <alignment horizontal="center" shrinkToFit="0" vertical="center" wrapText="1"/>
    </xf>
    <xf borderId="11" fillId="5" fontId="16" numFmtId="0" xfId="0" applyAlignment="1" applyBorder="1" applyFont="1">
      <alignment horizontal="center" readingOrder="0" shrinkToFit="0" wrapText="1"/>
    </xf>
    <xf borderId="32" fillId="5" fontId="22" numFmtId="0" xfId="0" applyAlignment="1" applyBorder="1" applyFont="1">
      <alignment horizontal="center" shrinkToFit="0" vertical="center" wrapText="1"/>
    </xf>
    <xf borderId="33" fillId="0" fontId="15" numFmtId="0" xfId="0" applyAlignment="1" applyBorder="1" applyFont="1">
      <alignment horizontal="center" shrinkToFit="0" vertical="center" wrapText="1"/>
    </xf>
    <xf borderId="34" fillId="0" fontId="3" numFmtId="0" xfId="0" applyBorder="1" applyFont="1"/>
    <xf borderId="0" fillId="0" fontId="15" numFmtId="0" xfId="0" applyAlignment="1" applyFont="1">
      <alignment shrinkToFit="0" vertical="center" wrapText="1"/>
    </xf>
    <xf borderId="0" fillId="0" fontId="15" numFmtId="17" xfId="0" applyFont="1" applyNumberFormat="1"/>
    <xf borderId="11" fillId="7" fontId="16" numFmtId="165" xfId="0" applyAlignment="1" applyBorder="1" applyFont="1" applyNumberFormat="1">
      <alignment horizontal="center" readingOrder="0"/>
    </xf>
    <xf borderId="11" fillId="5" fontId="16" numFmtId="0" xfId="0" applyAlignment="1" applyBorder="1" applyFont="1">
      <alignment horizontal="center" readingOrder="0"/>
    </xf>
    <xf quotePrefix="1" borderId="11" fillId="7" fontId="16" numFmtId="0" xfId="0" applyAlignment="1" applyBorder="1" applyFont="1">
      <alignment horizontal="center" readingOrder="0"/>
    </xf>
    <xf borderId="35" fillId="0" fontId="15" numFmtId="0" xfId="0" applyAlignment="1" applyBorder="1" applyFont="1">
      <alignment vertical="center"/>
    </xf>
    <xf borderId="36" fillId="0" fontId="15" numFmtId="0" xfId="0" applyAlignment="1" applyBorder="1" applyFont="1">
      <alignment vertical="center"/>
    </xf>
    <xf borderId="37" fillId="0" fontId="15" numFmtId="0" xfId="0" applyAlignment="1" applyBorder="1" applyFont="1">
      <alignment vertical="center"/>
    </xf>
    <xf borderId="11" fillId="5" fontId="16" numFmtId="165" xfId="0" applyAlignment="1" applyBorder="1" applyFont="1" applyNumberFormat="1">
      <alignment horizontal="center" readingOrder="0" vertical="center"/>
    </xf>
    <xf borderId="11" fillId="7" fontId="16" numFmtId="0" xfId="0" applyAlignment="1" applyBorder="1" applyFont="1">
      <alignment horizontal="center" readingOrder="0" shrinkToFit="0" vertical="center" wrapText="1"/>
    </xf>
    <xf borderId="11" fillId="0" fontId="23" numFmtId="0" xfId="0" applyAlignment="1" applyBorder="1" applyFont="1">
      <alignment readingOrder="0" shrinkToFit="0" wrapText="1"/>
    </xf>
    <xf borderId="11" fillId="7" fontId="17" numFmtId="0" xfId="0" applyAlignment="1" applyBorder="1" applyFont="1">
      <alignment horizontal="center" readingOrder="0"/>
    </xf>
    <xf borderId="0" fillId="0" fontId="24" numFmtId="0" xfId="0" applyFont="1"/>
    <xf borderId="11" fillId="5" fontId="16" numFmtId="165" xfId="0" applyAlignment="1" applyBorder="1" applyFont="1" applyNumberFormat="1">
      <alignment horizontal="center" readingOrder="0"/>
    </xf>
    <xf borderId="11" fillId="5" fontId="16" numFmtId="167" xfId="0" applyAlignment="1" applyBorder="1" applyFont="1" applyNumberFormat="1">
      <alignment horizontal="center" readingOrder="0" vertical="center"/>
    </xf>
    <xf borderId="11" fillId="5" fontId="16" numFmtId="164" xfId="0" applyAlignment="1" applyBorder="1" applyFont="1" applyNumberFormat="1">
      <alignment horizontal="center" readingOrder="0"/>
    </xf>
    <xf borderId="11" fillId="5" fontId="25" numFmtId="165" xfId="0" applyAlignment="1" applyBorder="1" applyFont="1" applyNumberFormat="1">
      <alignment horizontal="center" readingOrder="0"/>
    </xf>
    <xf borderId="11" fillId="5" fontId="16" numFmtId="168" xfId="0" applyAlignment="1" applyBorder="1" applyFont="1" applyNumberFormat="1">
      <alignment horizontal="center" readingOrder="0"/>
    </xf>
    <xf borderId="11" fillId="10" fontId="16" numFmtId="17" xfId="0" applyAlignment="1" applyBorder="1" applyFill="1" applyFont="1" applyNumberFormat="1">
      <alignment horizontal="center"/>
    </xf>
    <xf borderId="11" fillId="0" fontId="16" numFmtId="17" xfId="0" applyAlignment="1" applyBorder="1" applyFont="1" applyNumberFormat="1">
      <alignment horizontal="center"/>
    </xf>
    <xf borderId="11" fillId="0" fontId="5" numFmtId="0" xfId="0" applyBorder="1" applyFont="1"/>
    <xf borderId="0" fillId="0" fontId="16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wrapText="1"/>
    </xf>
    <xf borderId="0" fillId="2" fontId="26" numFmtId="0" xfId="0" applyAlignment="1" applyFont="1">
      <alignment horizontal="center" readingOrder="0" shrinkToFit="0" vertical="center" wrapText="1"/>
    </xf>
    <xf borderId="1" fillId="3" fontId="27" numFmtId="0" xfId="0" applyAlignment="1" applyBorder="1" applyFont="1">
      <alignment horizontal="center" shrinkToFit="0" vertical="center" wrapText="1"/>
    </xf>
    <xf borderId="4" fillId="0" fontId="28" numFmtId="0" xfId="0" applyAlignment="1" applyBorder="1" applyFont="1">
      <alignment horizontal="center" readingOrder="0" shrinkToFit="0" vertical="center" wrapText="1"/>
    </xf>
    <xf borderId="7" fillId="0" fontId="29" numFmtId="0" xfId="0" applyAlignment="1" applyBorder="1" applyFont="1">
      <alignment horizontal="center" readingOrder="0" shrinkToFit="0" vertical="center" wrapText="1"/>
    </xf>
    <xf borderId="8" fillId="0" fontId="30" numFmtId="0" xfId="0" applyAlignment="1" applyBorder="1" applyFont="1">
      <alignment horizontal="center" shrinkToFit="0" vertical="center" wrapText="1"/>
    </xf>
    <xf borderId="9" fillId="0" fontId="31" numFmtId="0" xfId="0" applyAlignment="1" applyBorder="1" applyFont="1">
      <alignment horizontal="center" shrinkToFit="0" vertical="center" wrapText="1"/>
    </xf>
    <xf borderId="12" fillId="0" fontId="16" numFmtId="0" xfId="0" applyAlignment="1" applyBorder="1" applyFont="1">
      <alignment horizontal="center" shrinkToFit="0" vertical="center" wrapText="1"/>
    </xf>
    <xf borderId="12" fillId="0" fontId="16" numFmtId="0" xfId="0" applyAlignment="1" applyBorder="1" applyFont="1">
      <alignment horizontal="center" readingOrder="0" shrinkToFit="0" vertical="center" wrapText="1"/>
    </xf>
    <xf borderId="15" fillId="0" fontId="16" numFmtId="0" xfId="0" applyAlignment="1" applyBorder="1" applyFont="1">
      <alignment horizontal="center" shrinkToFit="0" vertical="center" wrapText="1"/>
    </xf>
    <xf borderId="11" fillId="5" fontId="16" numFmtId="165" xfId="0" applyAlignment="1" applyBorder="1" applyFont="1" applyNumberFormat="1">
      <alignment horizontal="center" readingOrder="0" shrinkToFit="0" vertical="center" wrapText="1"/>
    </xf>
    <xf borderId="6" fillId="0" fontId="16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readingOrder="0" shrinkToFit="0" wrapText="1"/>
    </xf>
    <xf borderId="11" fillId="5" fontId="16" numFmtId="164" xfId="0" applyAlignment="1" applyBorder="1" applyFont="1" applyNumberFormat="1">
      <alignment horizontal="center" readingOrder="0" shrinkToFit="0" vertical="center" wrapText="1"/>
    </xf>
    <xf borderId="0" fillId="0" fontId="32" numFmtId="0" xfId="0" applyAlignment="1" applyFont="1">
      <alignment horizontal="center" vertical="center"/>
    </xf>
    <xf borderId="11" fillId="0" fontId="15" numFmtId="0" xfId="0" applyAlignment="1" applyBorder="1" applyFont="1">
      <alignment horizontal="center" readingOrder="0" shrinkToFit="0" vertical="center" wrapText="1"/>
    </xf>
    <xf borderId="11" fillId="7" fontId="16" numFmtId="167" xfId="0" applyAlignment="1" applyBorder="1" applyFont="1" applyNumberFormat="1">
      <alignment horizontal="center" readingOrder="0" shrinkToFit="0" vertical="center" wrapText="1"/>
    </xf>
    <xf borderId="11" fillId="0" fontId="15" numFmtId="0" xfId="0" applyAlignment="1" applyBorder="1" applyFont="1">
      <alignment horizontal="center" vertical="center"/>
    </xf>
    <xf borderId="11" fillId="5" fontId="16" numFmtId="169" xfId="0" applyAlignment="1" applyBorder="1" applyFont="1" applyNumberFormat="1">
      <alignment horizontal="center" readingOrder="0" shrinkToFit="0" vertical="center" wrapText="1"/>
    </xf>
    <xf borderId="6" fillId="0" fontId="15" numFmtId="0" xfId="0" applyAlignment="1" applyBorder="1" applyFont="1">
      <alignment horizontal="center"/>
    </xf>
    <xf borderId="6" fillId="0" fontId="15" numFmtId="0" xfId="0" applyAlignment="1" applyBorder="1" applyFont="1">
      <alignment horizontal="center" readingOrder="0" shrinkToFit="0" wrapText="1"/>
    </xf>
    <xf quotePrefix="1" borderId="11" fillId="7" fontId="16" numFmtId="0" xfId="0" applyAlignment="1" applyBorder="1" applyFont="1">
      <alignment horizontal="center" readingOrder="0" shrinkToFit="0" vertical="center" wrapText="1"/>
    </xf>
    <xf borderId="11" fillId="0" fontId="17" numFmtId="0" xfId="0" applyAlignment="1" applyBorder="1" applyFont="1">
      <alignment horizontal="center" shrinkToFit="0" vertical="center" wrapText="1"/>
    </xf>
    <xf borderId="35" fillId="0" fontId="15" numFmtId="0" xfId="0" applyAlignment="1" applyBorder="1" applyFont="1">
      <alignment readingOrder="0" vertical="center"/>
    </xf>
    <xf borderId="37" fillId="0" fontId="15" numFmtId="0" xfId="0" applyAlignment="1" applyBorder="1" applyFont="1">
      <alignment shrinkToFit="0" wrapText="1"/>
    </xf>
    <xf borderId="9" fillId="0" fontId="15" numFmtId="0" xfId="0" applyAlignment="1" applyBorder="1" applyFont="1">
      <alignment horizontal="left" shrinkToFit="0" vertical="center" wrapText="1"/>
    </xf>
    <xf borderId="38" fillId="0" fontId="3" numFmtId="0" xfId="0" applyBorder="1" applyFont="1"/>
    <xf borderId="11" fillId="7" fontId="17" numFmtId="0" xfId="0" applyAlignment="1" applyBorder="1" applyFont="1">
      <alignment horizontal="center" readingOrder="0" shrinkToFit="0" vertical="center" wrapText="1"/>
    </xf>
    <xf borderId="35" fillId="0" fontId="15" numFmtId="0" xfId="0" applyAlignment="1" applyBorder="1" applyFont="1">
      <alignment readingOrder="0" shrinkToFit="0" vertical="center" wrapText="0"/>
    </xf>
    <xf borderId="36" fillId="0" fontId="15" numFmtId="0" xfId="0" applyAlignment="1" applyBorder="1" applyFont="1">
      <alignment shrinkToFit="0" vertical="center" wrapText="0"/>
    </xf>
    <xf borderId="11" fillId="7" fontId="16" numFmtId="167" xfId="0" applyAlignment="1" applyBorder="1" applyFont="1" applyNumberFormat="1">
      <alignment horizontal="center" readingOrder="0"/>
    </xf>
    <xf borderId="11" fillId="5" fontId="16" numFmtId="167" xfId="0" applyAlignment="1" applyBorder="1" applyFont="1" applyNumberFormat="1">
      <alignment horizontal="center" readingOrder="0" shrinkToFit="0" vertical="center" wrapText="1"/>
    </xf>
    <xf borderId="11" fillId="0" fontId="15" numFmtId="0" xfId="0" applyAlignment="1" applyBorder="1" applyFont="1">
      <alignment horizontal="center" readingOrder="0" shrinkToFit="0" wrapText="1"/>
    </xf>
    <xf borderId="11" fillId="7" fontId="15" numFmtId="0" xfId="0" applyAlignment="1" applyBorder="1" applyFont="1">
      <alignment readingOrder="0" shrinkToFit="0" wrapText="1"/>
    </xf>
    <xf borderId="11" fillId="5" fontId="16" numFmtId="170" xfId="0" applyAlignment="1" applyBorder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5" fontId="16" numFmtId="0" xfId="0" applyAlignment="1" applyFont="1">
      <alignment horizontal="center" readingOrder="0" shrinkToFit="0" vertical="center" wrapText="1"/>
    </xf>
    <xf borderId="11" fillId="0" fontId="15" numFmtId="0" xfId="0" applyAlignment="1" applyBorder="1" applyFont="1">
      <alignment shrinkToFit="0" wrapText="1"/>
    </xf>
    <xf borderId="11" fillId="0" fontId="33" numFmtId="0" xfId="0" applyAlignment="1" applyBorder="1" applyFont="1">
      <alignment readingOrder="0" shrinkToFit="0" wrapText="1"/>
    </xf>
    <xf borderId="11" fillId="2" fontId="34" numFmtId="0" xfId="0" applyAlignment="1" applyBorder="1" applyFont="1">
      <alignment horizontal="center" shrinkToFit="0" vertical="center" wrapText="1"/>
    </xf>
    <xf borderId="2" fillId="3" fontId="35" numFmtId="0" xfId="0" applyAlignment="1" applyBorder="1" applyFont="1">
      <alignment horizontal="center" readingOrder="0" shrinkToFit="0" vertical="center" wrapText="1"/>
    </xf>
    <xf borderId="39" fillId="0" fontId="36" numFmtId="0" xfId="0" applyAlignment="1" applyBorder="1" applyFont="1">
      <alignment horizontal="center" readingOrder="0" shrinkToFit="0" vertical="center" wrapText="1"/>
    </xf>
    <xf borderId="7" fillId="0" fontId="22" numFmtId="0" xfId="0" applyAlignment="1" applyBorder="1" applyFont="1">
      <alignment readingOrder="0" shrinkToFit="0" vertical="center" wrapText="1"/>
    </xf>
    <xf borderId="40" fillId="0" fontId="37" numFmtId="0" xfId="0" applyAlignment="1" applyBorder="1" applyFont="1">
      <alignment horizontal="center" shrinkToFit="0" vertical="center" wrapText="1"/>
    </xf>
    <xf borderId="41" fillId="0" fontId="3" numFmtId="0" xfId="0" applyBorder="1" applyFont="1"/>
    <xf borderId="14" fillId="5" fontId="16" numFmtId="165" xfId="0" applyAlignment="1" applyBorder="1" applyFont="1" applyNumberFormat="1">
      <alignment horizontal="center" readingOrder="0" vertical="center"/>
    </xf>
    <xf borderId="14" fillId="7" fontId="16" numFmtId="165" xfId="0" applyAlignment="1" applyBorder="1" applyFont="1" applyNumberFormat="1">
      <alignment horizontal="center" readingOrder="0"/>
    </xf>
    <xf borderId="11" fillId="8" fontId="16" numFmtId="0" xfId="0" applyAlignment="1" applyBorder="1" applyFont="1">
      <alignment horizontal="center" readingOrder="0" shrinkToFit="0" vertical="center" wrapText="1"/>
    </xf>
    <xf borderId="14" fillId="7" fontId="16" numFmtId="0" xfId="0" applyAlignment="1" applyBorder="1" applyFont="1">
      <alignment horizontal="center" readingOrder="0"/>
    </xf>
    <xf borderId="12" fillId="0" fontId="15" numFmtId="0" xfId="0" applyAlignment="1" applyBorder="1" applyFont="1">
      <alignment horizontal="center" readingOrder="0"/>
    </xf>
    <xf borderId="11" fillId="5" fontId="16" numFmtId="171" xfId="0" applyAlignment="1" applyBorder="1" applyFont="1" applyNumberFormat="1">
      <alignment horizontal="center" readingOrder="0" shrinkToFit="0" vertical="center" wrapText="1"/>
    </xf>
    <xf borderId="11" fillId="8" fontId="16" numFmtId="164" xfId="0" applyAlignment="1" applyBorder="1" applyFont="1" applyNumberFormat="1">
      <alignment horizontal="center" readingOrder="0" shrinkToFit="0" vertical="center" wrapText="1"/>
    </xf>
    <xf borderId="9" fillId="0" fontId="15" numFmtId="0" xfId="0" applyAlignment="1" applyBorder="1" applyFont="1">
      <alignment horizontal="left" vertical="center"/>
    </xf>
    <xf borderId="11" fillId="7" fontId="25" numFmtId="167" xfId="0" applyAlignment="1" applyBorder="1" applyFont="1" applyNumberFormat="1">
      <alignment horizontal="center" readingOrder="0"/>
    </xf>
    <xf borderId="11" fillId="7" fontId="25" numFmtId="0" xfId="0" applyAlignment="1" applyBorder="1" applyFont="1">
      <alignment horizontal="center" readingOrder="0"/>
    </xf>
    <xf borderId="11" fillId="8" fontId="25" numFmtId="164" xfId="0" applyAlignment="1" applyBorder="1" applyFont="1" applyNumberFormat="1">
      <alignment horizontal="center" readingOrder="0"/>
    </xf>
    <xf borderId="0" fillId="0" fontId="38" numFmtId="0" xfId="0" applyAlignment="1" applyFont="1">
      <alignment readingOrder="0" shrinkToFit="0" wrapText="1"/>
    </xf>
    <xf borderId="0" fillId="0" fontId="23" numFmtId="0" xfId="0" applyAlignment="1" applyFont="1">
      <alignment shrinkToFit="0" wrapText="1"/>
    </xf>
    <xf borderId="11" fillId="6" fontId="16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readingOrder="0" shrinkToFit="0" wrapText="1"/>
    </xf>
    <xf borderId="11" fillId="5" fontId="16" numFmtId="170" xfId="0" applyAlignment="1" applyBorder="1" applyFont="1" applyNumberFormat="1">
      <alignment horizontal="center" readingOrder="0" shrinkToFit="0" vertical="center" wrapText="1"/>
    </xf>
    <xf borderId="7" fillId="0" fontId="39" numFmtId="0" xfId="0" applyAlignment="1" applyBorder="1" applyFont="1">
      <alignment horizontal="center" readingOrder="0" shrinkToFit="0" vertical="center" wrapText="1"/>
    </xf>
    <xf borderId="7" fillId="0" fontId="40" numFmtId="0" xfId="0" applyAlignment="1" applyBorder="1" applyFont="1">
      <alignment readingOrder="0" shrinkToFit="0" wrapText="1"/>
    </xf>
    <xf borderId="12" fillId="0" fontId="17" numFmtId="0" xfId="0" applyAlignment="1" applyBorder="1" applyFont="1">
      <alignment horizontal="center" shrinkToFit="0" vertical="center" wrapText="1"/>
    </xf>
    <xf borderId="12" fillId="0" fontId="17" numFmtId="0" xfId="0" applyAlignment="1" applyBorder="1" applyFont="1">
      <alignment horizontal="center" readingOrder="0" shrinkToFit="0" vertical="center" wrapText="1"/>
    </xf>
    <xf borderId="12" fillId="5" fontId="17" numFmtId="0" xfId="0" applyAlignment="1" applyBorder="1" applyFont="1">
      <alignment horizontal="center" readingOrder="0" shrinkToFit="0" vertical="center" wrapText="1"/>
    </xf>
    <xf borderId="12" fillId="0" fontId="23" numFmtId="0" xfId="0" applyAlignment="1" applyBorder="1" applyFont="1">
      <alignment shrinkToFit="0" wrapText="1"/>
    </xf>
    <xf borderId="0" fillId="0" fontId="23" numFmtId="0" xfId="0" applyAlignment="1" applyFont="1">
      <alignment readingOrder="0" shrinkToFit="0" wrapText="1"/>
    </xf>
    <xf borderId="15" fillId="0" fontId="17" numFmtId="0" xfId="0" applyAlignment="1" applyBorder="1" applyFont="1">
      <alignment horizontal="center" shrinkToFit="0" vertical="center" wrapText="1"/>
    </xf>
    <xf borderId="11" fillId="8" fontId="17" numFmtId="0" xfId="0" applyAlignment="1" applyBorder="1" applyFont="1">
      <alignment horizontal="center" readingOrder="0" shrinkToFit="0" vertical="center" wrapText="1"/>
    </xf>
    <xf borderId="11" fillId="0" fontId="23" numFmtId="0" xfId="0" applyAlignment="1" applyBorder="1" applyFont="1">
      <alignment shrinkToFit="0" wrapText="1"/>
    </xf>
    <xf borderId="6" fillId="0" fontId="17" numFmtId="0" xfId="0" applyAlignment="1" applyBorder="1" applyFont="1">
      <alignment horizontal="center" shrinkToFit="0" vertical="center" wrapText="1"/>
    </xf>
    <xf borderId="11" fillId="8" fontId="15" numFmtId="0" xfId="0" applyAlignment="1" applyBorder="1" applyFont="1">
      <alignment horizontal="center" readingOrder="0" shrinkToFit="0" vertical="center" wrapText="1"/>
    </xf>
    <xf borderId="42" fillId="0" fontId="15" numFmtId="0" xfId="0" applyAlignment="1" applyBorder="1" applyFont="1">
      <alignment horizontal="center"/>
    </xf>
    <xf borderId="11" fillId="0" fontId="15" numFmtId="0" xfId="0" applyAlignment="1" applyBorder="1" applyFont="1">
      <alignment horizontal="center"/>
    </xf>
    <xf borderId="6" fillId="0" fontId="15" numFmtId="0" xfId="0" applyAlignment="1" applyBorder="1" applyFont="1">
      <alignment readingOrder="0" vertical="bottom"/>
    </xf>
    <xf borderId="0" fillId="0" fontId="22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43" fillId="0" fontId="38" numFmtId="0" xfId="0" applyAlignment="1" applyBorder="1" applyFont="1">
      <alignment horizontal="center" shrinkToFit="0" vertical="center" wrapText="1"/>
    </xf>
    <xf borderId="44" fillId="0" fontId="3" numFmtId="0" xfId="0" applyBorder="1" applyFont="1"/>
    <xf borderId="45" fillId="0" fontId="3" numFmtId="0" xfId="0" applyBorder="1" applyFont="1"/>
    <xf borderId="0" fillId="0" fontId="41" numFmtId="0" xfId="0" applyFont="1"/>
    <xf borderId="0" fillId="0" fontId="17" numFmtId="0" xfId="0" applyAlignment="1" applyFont="1">
      <alignment horizontal="left" vertical="center"/>
    </xf>
    <xf borderId="35" fillId="0" fontId="15" numFmtId="0" xfId="0" applyAlignment="1" applyBorder="1" applyFont="1">
      <alignment shrinkToFit="0" vertical="center" wrapText="1"/>
    </xf>
    <xf borderId="6" fillId="0" fontId="15" numFmtId="0" xfId="0" applyAlignment="1" applyBorder="1" applyFont="1">
      <alignment readingOrder="0" shrinkToFit="0" wrapText="1"/>
    </xf>
    <xf borderId="46" fillId="0" fontId="15" numFmtId="0" xfId="0" applyAlignment="1" applyBorder="1" applyFont="1">
      <alignment readingOrder="0" shrinkToFit="0" wrapText="1"/>
    </xf>
    <xf borderId="11" fillId="5" fontId="16" numFmtId="172" xfId="0" applyAlignment="1" applyBorder="1" applyFont="1" applyNumberFormat="1">
      <alignment horizontal="center" readingOrder="0" shrinkToFit="0" vertical="center" wrapText="1"/>
    </xf>
    <xf borderId="0" fillId="3" fontId="42" numFmtId="0" xfId="0" applyAlignment="1" applyFont="1">
      <alignment horizontal="center" readingOrder="0" shrinkToFit="0" vertical="center" wrapText="1"/>
    </xf>
    <xf borderId="47" fillId="0" fontId="43" numFmtId="0" xfId="0" applyAlignment="1" applyBorder="1" applyFont="1">
      <alignment horizontal="center" readingOrder="0" shrinkToFit="0" vertical="center" wrapText="1"/>
    </xf>
    <xf borderId="48" fillId="0" fontId="44" numFmtId="0" xfId="0" applyAlignment="1" applyBorder="1" applyFont="1">
      <alignment horizontal="center" shrinkToFit="0" vertical="center" wrapText="1"/>
    </xf>
    <xf borderId="12" fillId="5" fontId="16" numFmtId="167" xfId="0" applyAlignment="1" applyBorder="1" applyFont="1" applyNumberFormat="1">
      <alignment horizontal="center" readingOrder="0" shrinkToFit="0" vertical="center" wrapText="1"/>
    </xf>
    <xf borderId="11" fillId="8" fontId="16" numFmtId="167" xfId="0" applyAlignment="1" applyBorder="1" applyFont="1" applyNumberFormat="1">
      <alignment horizontal="center" readingOrder="0" shrinkToFit="0" vertical="center" wrapText="1"/>
    </xf>
    <xf borderId="0" fillId="11" fontId="45" numFmtId="0" xfId="0" applyAlignment="1" applyFill="1" applyFont="1">
      <alignment horizontal="left" readingOrder="0" shrinkToFit="0" wrapText="1"/>
    </xf>
    <xf borderId="11" fillId="12" fontId="17" numFmtId="0" xfId="0" applyAlignment="1" applyBorder="1" applyFill="1" applyFont="1">
      <alignment horizontal="center" readingOrder="0" shrinkToFit="0" vertical="center" wrapText="1"/>
    </xf>
    <xf borderId="0" fillId="11" fontId="15" numFmtId="0" xfId="0" applyAlignment="1" applyFont="1">
      <alignment readingOrder="0" shrinkToFit="0" wrapText="1"/>
    </xf>
    <xf borderId="11" fillId="2" fontId="17" numFmtId="0" xfId="0" applyAlignment="1" applyBorder="1" applyFont="1">
      <alignment horizontal="center" readingOrder="0" shrinkToFit="0" vertical="center" wrapText="1"/>
    </xf>
    <xf borderId="11" fillId="5" fontId="16" numFmtId="173" xfId="0" applyAlignment="1" applyBorder="1" applyFont="1" applyNumberFormat="1">
      <alignment horizontal="center" readingOrder="0" shrinkToFit="0" vertical="center" wrapText="1"/>
    </xf>
    <xf borderId="11" fillId="2" fontId="46" numFmtId="0" xfId="0" applyAlignment="1" applyBorder="1" applyFont="1">
      <alignment horizontal="center" readingOrder="0" shrinkToFit="0" vertical="center" wrapText="1"/>
    </xf>
    <xf borderId="11" fillId="7" fontId="16" numFmtId="173" xfId="0" applyAlignment="1" applyBorder="1" applyFont="1" applyNumberFormat="1">
      <alignment horizontal="center" readingOrder="0" shrinkToFit="0" vertical="center" wrapText="1"/>
    </xf>
    <xf borderId="11" fillId="7" fontId="16" numFmtId="0" xfId="0" applyAlignment="1" applyBorder="1" applyFont="1">
      <alignment horizontal="center" shrinkToFit="0" vertical="center" wrapText="1"/>
    </xf>
    <xf borderId="4" fillId="0" fontId="47" numFmtId="0" xfId="0" applyAlignment="1" applyBorder="1" applyFont="1">
      <alignment horizontal="center" readingOrder="0" shrinkToFit="0" vertical="center" wrapText="1"/>
    </xf>
    <xf borderId="1" fillId="0" fontId="48" numFmtId="0" xfId="0" applyAlignment="1" applyBorder="1" applyFont="1">
      <alignment horizontal="center" readingOrder="0" shrinkToFit="0" wrapText="1"/>
    </xf>
    <xf borderId="49" fillId="0" fontId="49" numFmtId="0" xfId="0" applyAlignment="1" applyBorder="1" applyFont="1">
      <alignment horizontal="center" shrinkToFit="0" vertical="center" wrapText="1"/>
    </xf>
    <xf borderId="20" fillId="0" fontId="50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readingOrder="0" shrinkToFit="0" wrapText="1"/>
    </xf>
    <xf borderId="11" fillId="5" fontId="17" numFmtId="174" xfId="0" applyAlignment="1" applyBorder="1" applyFont="1" applyNumberFormat="1">
      <alignment horizontal="center" readingOrder="0" shrinkToFit="0" vertical="center" wrapText="1"/>
    </xf>
    <xf borderId="0" fillId="0" fontId="15" numFmtId="0" xfId="0" applyAlignment="1" applyFont="1">
      <alignment readingOrder="0" shrinkToFit="0" wrapText="0"/>
    </xf>
    <xf borderId="0" fillId="0" fontId="15" numFmtId="0" xfId="0" applyAlignment="1" applyFont="1">
      <alignment shrinkToFit="0" wrapText="0"/>
    </xf>
    <xf borderId="0" fillId="0" fontId="23" numFmtId="0" xfId="0" applyAlignment="1" applyFont="1">
      <alignment readingOrder="0" shrinkToFit="0" wrapText="0"/>
    </xf>
    <xf borderId="0" fillId="0" fontId="23" numFmtId="0" xfId="0" applyAlignment="1" applyFont="1">
      <alignment shrinkToFit="0" wrapText="0"/>
    </xf>
    <xf borderId="0" fillId="10" fontId="51" numFmtId="0" xfId="0" applyAlignment="1" applyFont="1">
      <alignment readingOrder="0"/>
    </xf>
    <xf borderId="0" fillId="7" fontId="15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10" fontId="51" numFmtId="0" xfId="0" applyFont="1"/>
    <xf borderId="11" fillId="5" fontId="17" numFmtId="164" xfId="0" applyAlignment="1" applyBorder="1" applyFont="1" applyNumberFormat="1">
      <alignment horizontal="center" readingOrder="0" shrinkToFit="0" vertical="center" wrapText="1"/>
    </xf>
    <xf borderId="11" fillId="0" fontId="16" numFmtId="0" xfId="0" applyAlignment="1" applyBorder="1" applyFont="1">
      <alignment readingOrder="0"/>
    </xf>
    <xf borderId="11" fillId="0" fontId="16" numFmtId="0" xfId="0" applyBorder="1" applyFont="1"/>
    <xf borderId="11" fillId="7" fontId="16" numFmtId="167" xfId="0" applyAlignment="1" applyBorder="1" applyFont="1" applyNumberFormat="1">
      <alignment horizontal="center" readingOrder="0" shrinkToFit="0" wrapText="1"/>
    </xf>
    <xf borderId="0" fillId="10" fontId="52" numFmtId="0" xfId="0" applyAlignment="1" applyFont="1">
      <alignment readingOrder="0"/>
    </xf>
    <xf borderId="0" fillId="7" fontId="15" numFmtId="0" xfId="0" applyAlignment="1" applyFont="1">
      <alignment readingOrder="0" shrinkToFit="0" vertical="center" wrapText="1"/>
    </xf>
    <xf borderId="0" fillId="6" fontId="15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0"/>
    </xf>
    <xf borderId="0" fillId="11" fontId="15" numFmtId="0" xfId="0" applyAlignment="1" applyFont="1">
      <alignment horizontal="center" readingOrder="0" shrinkToFit="0" vertical="center" wrapText="1"/>
    </xf>
    <xf borderId="0" fillId="6" fontId="15" numFmtId="0" xfId="0" applyAlignment="1" applyFont="1">
      <alignment shrinkToFit="0" wrapText="1"/>
    </xf>
    <xf borderId="0" fillId="0" fontId="53" numFmtId="0" xfId="0" applyAlignment="1" applyFont="1">
      <alignment shrinkToFit="0" wrapText="1"/>
    </xf>
    <xf borderId="0" fillId="0" fontId="54" numFmtId="0" xfId="0" applyAlignment="1" applyFont="1">
      <alignment horizontal="center" shrinkToFit="0" vertical="center" wrapText="1"/>
    </xf>
    <xf borderId="44" fillId="0" fontId="55" numFmtId="0" xfId="0" applyAlignment="1" applyBorder="1" applyFont="1">
      <alignment horizontal="center" shrinkToFit="0" vertical="center" wrapText="1"/>
    </xf>
    <xf borderId="17" fillId="0" fontId="22" numFmtId="0" xfId="0" applyAlignment="1" applyBorder="1" applyFont="1">
      <alignment horizontal="center" shrinkToFit="0" vertical="center" wrapText="1"/>
    </xf>
    <xf borderId="11" fillId="5" fontId="17" numFmtId="173" xfId="0" applyAlignment="1" applyBorder="1" applyFont="1" applyNumberFormat="1">
      <alignment horizontal="center" readingOrder="0" shrinkToFit="0" vertical="center" wrapText="1"/>
    </xf>
    <xf borderId="17" fillId="0" fontId="15" numFmtId="0" xfId="0" applyAlignment="1" applyBorder="1" applyFont="1">
      <alignment horizontal="center" readingOrder="0" shrinkToFit="0" vertical="center" wrapText="1"/>
    </xf>
    <xf borderId="50" fillId="0" fontId="22" numFmtId="0" xfId="0" applyAlignment="1" applyBorder="1" applyFont="1">
      <alignment horizontal="center" shrinkToFit="0" vertical="center" wrapText="1"/>
    </xf>
    <xf borderId="51" fillId="0" fontId="15" numFmtId="0" xfId="0" applyAlignment="1" applyBorder="1" applyFont="1">
      <alignment shrinkToFit="0" vertical="center" wrapText="1"/>
    </xf>
    <xf borderId="0" fillId="0" fontId="15" numFmtId="0" xfId="0" applyAlignment="1" applyFont="1">
      <alignment horizontal="center" shrinkToFit="0" wrapText="1"/>
    </xf>
    <xf borderId="0" fillId="0" fontId="56" numFmtId="0" xfId="0" applyAlignment="1" applyFont="1">
      <alignment readingOrder="0" shrinkToFit="0" vertical="center" wrapText="1"/>
    </xf>
    <xf borderId="11" fillId="5" fontId="16" numFmtId="174" xfId="0" applyAlignment="1" applyBorder="1" applyFont="1" applyNumberFormat="1">
      <alignment horizontal="center" readingOrder="0" shrinkToFit="0" vertical="center" wrapText="1"/>
    </xf>
    <xf borderId="51" fillId="0" fontId="15" numFmtId="0" xfId="0" applyAlignment="1" applyBorder="1" applyFont="1">
      <alignment horizontal="left" shrinkToFit="0" vertical="center" wrapText="1"/>
    </xf>
    <xf borderId="11" fillId="13" fontId="16" numFmtId="173" xfId="0" applyAlignment="1" applyBorder="1" applyFill="1" applyFont="1" applyNumberFormat="1">
      <alignment horizontal="center" readingOrder="0" shrinkToFit="0" vertical="center" wrapText="1"/>
    </xf>
    <xf quotePrefix="1" borderId="11" fillId="5" fontId="57" numFmtId="0" xfId="0" applyAlignment="1" applyBorder="1" applyFont="1">
      <alignment horizontal="center" readingOrder="0" shrinkToFit="0" vertical="center" wrapText="1"/>
    </xf>
    <xf borderId="51" fillId="0" fontId="15" numFmtId="0" xfId="0" applyAlignment="1" applyBorder="1" applyFont="1">
      <alignment readingOrder="0" shrinkToFit="0" vertical="center" wrapText="0"/>
    </xf>
    <xf borderId="0" fillId="8" fontId="22" numFmtId="0" xfId="0" applyAlignment="1" applyFont="1">
      <alignment vertical="center"/>
    </xf>
    <xf borderId="0" fillId="8" fontId="29" numFmtId="0" xfId="0" applyFont="1"/>
    <xf borderId="0" fillId="0" fontId="23" numFmtId="0" xfId="0" applyAlignment="1" applyFont="1">
      <alignment horizontal="center" shrinkToFit="0" wrapText="1"/>
    </xf>
    <xf borderId="11" fillId="5" fontId="17" numFmtId="0" xfId="0" applyAlignment="1" applyBorder="1" applyFont="1">
      <alignment horizontal="center" readingOrder="0" shrinkToFit="0" vertical="center" wrapText="1"/>
    </xf>
    <xf borderId="11" fillId="5" fontId="16" numFmtId="175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11" fillId="5" fontId="16" numFmtId="171" xfId="0" applyAlignment="1" applyBorder="1" applyFont="1" applyNumberFormat="1">
      <alignment horizontal="center" readingOrder="0"/>
    </xf>
    <xf borderId="1" fillId="0" fontId="58" numFmtId="0" xfId="0" applyAlignment="1" applyBorder="1" applyFont="1">
      <alignment horizontal="center" readingOrder="0" shrinkToFit="0" vertical="center" wrapText="1"/>
    </xf>
    <xf borderId="6" fillId="0" fontId="59" numFmtId="0" xfId="0" applyAlignment="1" applyBorder="1" applyFont="1">
      <alignment horizontal="center" shrinkToFit="0" vertical="center" wrapText="1"/>
    </xf>
    <xf borderId="41" fillId="0" fontId="60" numFmtId="0" xfId="0" applyAlignment="1" applyBorder="1" applyFont="1">
      <alignment horizontal="center" shrinkToFit="0" vertical="center" wrapText="1"/>
    </xf>
    <xf borderId="6" fillId="0" fontId="23" numFmtId="0" xfId="0" applyAlignment="1" applyBorder="1" applyFont="1">
      <alignment readingOrder="0" shrinkToFit="0" wrapText="1"/>
    </xf>
    <xf borderId="46" fillId="0" fontId="23" numFmtId="0" xfId="0" applyAlignment="1" applyBorder="1" applyFont="1">
      <alignment readingOrder="0" shrinkToFit="0" wrapText="1"/>
    </xf>
    <xf borderId="11" fillId="0" fontId="61" numFmtId="0" xfId="0" applyAlignment="1" applyBorder="1" applyFont="1">
      <alignment horizontal="center" vertical="center"/>
    </xf>
    <xf borderId="41" fillId="0" fontId="62" numFmtId="0" xfId="0" applyAlignment="1" applyBorder="1" applyFont="1">
      <alignment horizontal="center" vertical="center"/>
    </xf>
    <xf borderId="47" fillId="0" fontId="63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/>
    </xf>
    <xf borderId="11" fillId="5" fontId="25" numFmtId="173" xfId="0" applyAlignment="1" applyBorder="1" applyFont="1" applyNumberFormat="1">
      <alignment horizontal="center" readingOrder="0" shrinkToFit="0" vertical="center" wrapText="1"/>
    </xf>
    <xf borderId="11" fillId="0" fontId="15" numFmtId="0" xfId="0" applyAlignment="1" applyBorder="1" applyFont="1">
      <alignment horizontal="center" readingOrder="0"/>
    </xf>
    <xf borderId="6" fillId="0" fontId="15" numFmtId="0" xfId="0" applyAlignment="1" applyBorder="1" applyFont="1">
      <alignment horizontal="center" readingOrder="0" vertical="bottom"/>
    </xf>
    <xf borderId="17" fillId="0" fontId="15" numFmtId="0" xfId="0" applyAlignment="1" applyBorder="1" applyFont="1">
      <alignment horizontal="center" vertical="center"/>
    </xf>
    <xf borderId="11" fillId="5" fontId="16" numFmtId="176" xfId="0" applyAlignment="1" applyBorder="1" applyFont="1" applyNumberFormat="1">
      <alignment horizontal="center" readingOrder="0" shrinkToFit="0" vertical="center" wrapText="1"/>
    </xf>
    <xf borderId="11" fillId="0" fontId="64" numFmtId="0" xfId="0" applyAlignment="1" applyBorder="1" applyFont="1">
      <alignment horizontal="center" shrinkToFit="0" vertical="center" wrapText="1"/>
    </xf>
    <xf borderId="28" fillId="0" fontId="65" numFmtId="0" xfId="0" applyAlignment="1" applyBorder="1" applyFont="1">
      <alignment horizontal="center" shrinkToFit="0" vertical="center" wrapText="1"/>
    </xf>
    <xf borderId="6" fillId="0" fontId="66" numFmtId="0" xfId="0" applyAlignment="1" applyBorder="1" applyFont="1">
      <alignment readingOrder="0" shrinkToFit="0" wrapText="1"/>
    </xf>
    <xf borderId="11" fillId="0" fontId="22" numFmtId="0" xfId="0" applyAlignment="1" applyBorder="1" applyFont="1">
      <alignment horizontal="center" shrinkToFit="0" vertical="center" wrapText="1"/>
    </xf>
    <xf borderId="17" fillId="7" fontId="22" numFmtId="0" xfId="0" applyAlignment="1" applyBorder="1" applyFont="1">
      <alignment horizontal="center" shrinkToFit="0" vertical="center" wrapText="1"/>
    </xf>
    <xf borderId="52" fillId="7" fontId="22" numFmtId="0" xfId="0" applyAlignment="1" applyBorder="1" applyFont="1">
      <alignment horizontal="center" shrinkToFit="0" vertical="center" wrapText="1"/>
    </xf>
    <xf borderId="17" fillId="8" fontId="22" numFmtId="0" xfId="0" applyAlignment="1" applyBorder="1" applyFont="1">
      <alignment horizontal="center" shrinkToFit="0" vertical="center" wrapText="1"/>
    </xf>
    <xf borderId="52" fillId="8" fontId="22" numFmtId="0" xfId="0" applyAlignment="1" applyBorder="1" applyFont="1">
      <alignment horizontal="center" shrinkToFit="0" vertical="center" wrapText="1"/>
    </xf>
    <xf borderId="17" fillId="9" fontId="22" numFmtId="0" xfId="0" applyAlignment="1" applyBorder="1" applyFont="1">
      <alignment horizontal="center" shrinkToFit="0" vertical="center" wrapText="1"/>
    </xf>
    <xf borderId="52" fillId="9" fontId="22" numFmtId="0" xfId="0" applyAlignment="1" applyBorder="1" applyFont="1">
      <alignment horizontal="center" shrinkToFit="0" vertical="center" wrapText="1"/>
    </xf>
    <xf borderId="53" fillId="5" fontId="22" numFmtId="0" xfId="0" applyAlignment="1" applyBorder="1" applyFont="1">
      <alignment horizontal="center" shrinkToFit="0" vertical="center" wrapText="1"/>
    </xf>
    <xf borderId="19" fillId="5" fontId="22" numFmtId="0" xfId="0" applyAlignment="1" applyBorder="1" applyFont="1">
      <alignment horizontal="center" shrinkToFit="0" vertical="center" wrapText="1"/>
    </xf>
    <xf borderId="6" fillId="0" fontId="18" numFmtId="0" xfId="0" applyAlignment="1" applyBorder="1" applyFont="1">
      <alignment readingOrder="0" shrinkToFit="0" wrapText="1"/>
    </xf>
    <xf borderId="11" fillId="0" fontId="15" numFmtId="0" xfId="0" applyAlignment="1" applyBorder="1" applyFont="1">
      <alignment shrinkToFit="0" vertical="center" wrapText="1"/>
    </xf>
    <xf borderId="10" fillId="0" fontId="15" numFmtId="0" xfId="0" applyAlignment="1" applyBorder="1" applyFont="1">
      <alignment shrinkToFit="0" vertical="center" wrapText="1"/>
    </xf>
    <xf borderId="38" fillId="0" fontId="15" numFmtId="0" xfId="0" applyAlignment="1" applyBorder="1" applyFont="1">
      <alignment shrinkToFit="0" vertical="center" wrapText="1"/>
    </xf>
    <xf borderId="11" fillId="12" fontId="16" numFmtId="0" xfId="0" applyAlignment="1" applyBorder="1" applyFont="1">
      <alignment horizontal="center" readingOrder="0" shrinkToFit="0" vertical="center" wrapText="1"/>
    </xf>
    <xf borderId="11" fillId="0" fontId="15" numFmtId="0" xfId="0" applyAlignment="1" applyBorder="1" applyFont="1">
      <alignment horizontal="left" shrinkToFit="0" vertical="center" wrapText="1"/>
    </xf>
    <xf borderId="38" fillId="0" fontId="15" numFmtId="0" xfId="0" applyAlignment="1" applyBorder="1" applyFont="1">
      <alignment horizontal="left" shrinkToFit="0" vertical="center" wrapText="1"/>
    </xf>
    <xf borderId="11" fillId="0" fontId="15" numFmtId="0" xfId="0" applyAlignment="1" applyBorder="1" applyFont="1">
      <alignment vertical="center"/>
    </xf>
    <xf borderId="11" fillId="0" fontId="15" numFmtId="0" xfId="0" applyAlignment="1" applyBorder="1" applyFont="1">
      <alignment readingOrder="0" vertical="center"/>
    </xf>
    <xf borderId="10" fillId="0" fontId="15" numFmtId="0" xfId="0" applyAlignment="1" applyBorder="1" applyFont="1">
      <alignment readingOrder="0" vertical="center"/>
    </xf>
    <xf borderId="20" fillId="0" fontId="15" numFmtId="0" xfId="0" applyAlignment="1" applyBorder="1" applyFont="1">
      <alignment readingOrder="0" shrinkToFit="0" wrapText="1"/>
    </xf>
    <xf borderId="11" fillId="7" fontId="16" numFmtId="177" xfId="0" applyAlignment="1" applyBorder="1" applyFont="1" applyNumberFormat="1">
      <alignment horizontal="center" readingOrder="0" shrinkToFit="0" vertical="center" wrapText="1"/>
    </xf>
    <xf borderId="11" fillId="2" fontId="17" numFmtId="0" xfId="0" applyAlignment="1" applyBorder="1" applyFont="1">
      <alignment horizontal="center" readingOrder="0"/>
    </xf>
    <xf borderId="54" fillId="0" fontId="23" numFmtId="0" xfId="0" applyAlignment="1" applyBorder="1" applyFont="1">
      <alignment shrinkToFit="0" wrapText="1"/>
    </xf>
    <xf borderId="0" fillId="7" fontId="5" numFmtId="168" xfId="0" applyAlignment="1" applyFont="1" applyNumberFormat="1">
      <alignment horizontal="center" readingOrder="0"/>
    </xf>
    <xf borderId="0" fillId="0" fontId="16" numFmtId="0" xfId="0" applyAlignment="1" applyFont="1">
      <alignment horizontal="left" readingOrder="0"/>
    </xf>
    <xf borderId="0" fillId="0" fontId="16" numFmtId="0" xfId="0" applyAlignment="1" applyFont="1">
      <alignment horizontal="center" readingOrder="0"/>
    </xf>
    <xf borderId="12" fillId="0" fontId="15" numFmtId="0" xfId="0" applyAlignment="1" applyBorder="1" applyFont="1">
      <alignment shrinkToFit="0" wrapText="1"/>
    </xf>
    <xf borderId="11" fillId="5" fontId="16" numFmtId="167" xfId="0" applyAlignment="1" applyBorder="1" applyFont="1" applyNumberFormat="1">
      <alignment horizontal="center" readingOrder="0"/>
    </xf>
    <xf borderId="14" fillId="5" fontId="16" numFmtId="177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11" fillId="4" fontId="67" numFmtId="0" xfId="0" applyAlignment="1" applyBorder="1" applyFont="1">
      <alignment horizontal="center" readingOrder="0" shrinkToFit="0" vertical="center" wrapText="1"/>
    </xf>
    <xf borderId="7" fillId="0" fontId="68" numFmtId="0" xfId="0" applyAlignment="1" applyBorder="1" applyFont="1">
      <alignment horizontal="center" readingOrder="0" shrinkToFit="0" vertical="center" wrapText="1"/>
    </xf>
    <xf borderId="0" fillId="0" fontId="69" numFmtId="0" xfId="0" applyAlignment="1" applyFont="1">
      <alignment horizontal="center" readingOrder="0" shrinkToFit="0" vertical="center" wrapText="1"/>
    </xf>
    <xf borderId="12" fillId="2" fontId="17" numFmtId="0" xfId="0" applyAlignment="1" applyBorder="1" applyFont="1">
      <alignment horizontal="center" readingOrder="0" shrinkToFit="0" vertical="center" wrapText="1"/>
    </xf>
    <xf borderId="12" fillId="0" fontId="23" numFmtId="0" xfId="0" applyAlignment="1" applyBorder="1" applyFont="1">
      <alignment readingOrder="0" shrinkToFit="0" wrapText="1"/>
    </xf>
    <xf borderId="12" fillId="5" fontId="16" numFmtId="164" xfId="0" applyAlignment="1" applyBorder="1" applyFont="1" applyNumberFormat="1">
      <alignment horizontal="center" readingOrder="0" shrinkToFit="0" vertical="center" wrapText="1"/>
    </xf>
    <xf borderId="11" fillId="0" fontId="23" numFmtId="0" xfId="0" applyAlignment="1" applyBorder="1" applyFont="1">
      <alignment horizontal="center" readingOrder="0" vertical="center"/>
    </xf>
    <xf borderId="6" fillId="0" fontId="23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readingOrder="0" vertical="center"/>
    </xf>
    <xf borderId="11" fillId="0" fontId="23" numFmtId="0" xfId="0" applyAlignment="1" applyBorder="1" applyFont="1">
      <alignment horizontal="center" readingOrder="0"/>
    </xf>
    <xf borderId="11" fillId="0" fontId="23" numFmtId="0" xfId="0" applyAlignment="1" applyBorder="1" applyFont="1">
      <alignment horizontal="center" vertical="center"/>
    </xf>
    <xf borderId="6" fillId="0" fontId="23" numFmtId="0" xfId="0" applyAlignment="1" applyBorder="1" applyFont="1">
      <alignment horizontal="center" readingOrder="0"/>
    </xf>
    <xf borderId="44" fillId="6" fontId="70" numFmtId="0" xfId="0" applyAlignment="1" applyBorder="1" applyFont="1">
      <alignment horizontal="center" readingOrder="0" shrinkToFit="0" vertical="center" wrapText="1"/>
    </xf>
    <xf borderId="17" fillId="6" fontId="22" numFmtId="0" xfId="0" applyAlignment="1" applyBorder="1" applyFont="1">
      <alignment horizontal="center" shrinkToFit="0" vertical="center" wrapText="1"/>
    </xf>
    <xf borderId="11" fillId="8" fontId="17" numFmtId="164" xfId="0" applyAlignment="1" applyBorder="1" applyFont="1" applyNumberFormat="1">
      <alignment horizontal="center" readingOrder="0" shrinkToFit="0" vertical="center" wrapText="1"/>
    </xf>
    <xf borderId="17" fillId="6" fontId="22" numFmtId="0" xfId="0" applyAlignment="1" applyBorder="1" applyFont="1">
      <alignment horizontal="center" readingOrder="0" shrinkToFit="0" vertical="center" wrapText="1"/>
    </xf>
    <xf borderId="50" fillId="6" fontId="22" numFmtId="0" xfId="0" applyAlignment="1" applyBorder="1" applyFont="1">
      <alignment horizontal="center" shrinkToFit="0" vertical="center" wrapText="1"/>
    </xf>
    <xf borderId="11" fillId="6" fontId="15" numFmtId="0" xfId="0" applyAlignment="1" applyBorder="1" applyFont="1">
      <alignment readingOrder="0" shrinkToFit="0" wrapText="1"/>
    </xf>
    <xf borderId="51" fillId="0" fontId="15" numFmtId="0" xfId="0" applyAlignment="1" applyBorder="1" applyFont="1">
      <alignment readingOrder="0" vertical="center"/>
    </xf>
    <xf borderId="11" fillId="5" fontId="25" numFmtId="167" xfId="0" applyAlignment="1" applyBorder="1" applyFont="1" applyNumberForma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/>
    </xf>
    <xf borderId="11" fillId="5" fontId="16" numFmtId="49" xfId="0" applyAlignment="1" applyBorder="1" applyFont="1" applyNumberFormat="1">
      <alignment horizontal="center" readingOrder="0" shrinkToFit="0" vertical="center" wrapText="1"/>
    </xf>
    <xf borderId="11" fillId="0" fontId="71" numFmtId="0" xfId="0" applyAlignment="1" applyBorder="1" applyFont="1">
      <alignment horizontal="center" readingOrder="0" shrinkToFit="0" vertical="center" wrapText="1"/>
    </xf>
    <xf borderId="11" fillId="0" fontId="72" numFmtId="0" xfId="0" applyAlignment="1" applyBorder="1" applyFont="1">
      <alignment horizontal="center" readingOrder="0" shrinkToFit="0" vertical="center" wrapText="1"/>
    </xf>
    <xf borderId="11" fillId="5" fontId="16" numFmtId="178" xfId="0" applyAlignment="1" applyBorder="1" applyFont="1" applyNumberFormat="1">
      <alignment horizontal="center" readingOrder="0" shrinkToFit="0" vertical="center" wrapText="1"/>
    </xf>
    <xf borderId="11" fillId="5" fontId="16" numFmtId="179" xfId="0" applyAlignment="1" applyBorder="1" applyFont="1" applyNumberFormat="1">
      <alignment horizontal="center" readingOrder="0" shrinkToFit="0" vertical="center" wrapText="1"/>
    </xf>
    <xf borderId="14" fillId="7" fontId="16" numFmtId="178" xfId="0" applyAlignment="1" applyBorder="1" applyFont="1" applyNumberFormat="1">
      <alignment horizontal="center" readingOrder="0"/>
    </xf>
    <xf borderId="11" fillId="5" fontId="15" numFmtId="167" xfId="0" applyAlignment="1" applyBorder="1" applyFont="1" applyNumberFormat="1">
      <alignment horizontal="center" readingOrder="0" shrinkToFit="0" vertical="center" wrapText="1"/>
    </xf>
    <xf borderId="11" fillId="2" fontId="15" numFmtId="0" xfId="0" applyAlignment="1" applyBorder="1" applyFont="1">
      <alignment readingOrder="0" shrinkToFit="0" wrapText="1"/>
    </xf>
    <xf borderId="11" fillId="2" fontId="16" numFmtId="0" xfId="0" applyAlignment="1" applyBorder="1" applyFont="1">
      <alignment horizontal="center" shrinkToFit="0" vertical="center" wrapText="1"/>
    </xf>
    <xf borderId="11" fillId="2" fontId="15" numFmtId="0" xfId="0" applyAlignment="1" applyBorder="1" applyFont="1">
      <alignment horizontal="center"/>
    </xf>
    <xf borderId="6" fillId="2" fontId="15" numFmtId="0" xfId="0" applyAlignment="1" applyBorder="1" applyFont="1">
      <alignment readingOrder="0" vertical="bottom"/>
    </xf>
    <xf borderId="0" fillId="2" fontId="15" numFmtId="0" xfId="0" applyAlignment="1" applyFont="1">
      <alignment shrinkToFit="0" wrapText="1"/>
    </xf>
    <xf borderId="11" fillId="2" fontId="15" numFmtId="0" xfId="0" applyAlignment="1" applyBorder="1" applyFont="1">
      <alignment horizontal="center"/>
    </xf>
    <xf borderId="0" fillId="2" fontId="15" numFmtId="0" xfId="0" applyAlignment="1" applyFont="1">
      <alignment readingOrder="0" shrinkToFit="0" wrapText="1"/>
    </xf>
    <xf borderId="11" fillId="2" fontId="15" numFmtId="0" xfId="0" applyAlignment="1" applyBorder="1" applyFont="1">
      <alignment horizontal="center" vertical="center"/>
    </xf>
    <xf borderId="6" fillId="2" fontId="15" numFmtId="0" xfId="0" applyAlignment="1" applyBorder="1" applyFont="1">
      <alignment horizontal="center"/>
    </xf>
    <xf borderId="0" fillId="10" fontId="15" numFmtId="0" xfId="0" applyAlignment="1" applyFont="1">
      <alignment readingOrder="0" shrinkToFit="0" wrapText="1"/>
    </xf>
    <xf borderId="0" fillId="10" fontId="15" numFmtId="0" xfId="0" applyAlignment="1" applyFont="1">
      <alignment shrinkToFit="0" wrapText="1"/>
    </xf>
    <xf borderId="11" fillId="6" fontId="23" numFmtId="0" xfId="0" applyAlignment="1" applyBorder="1" applyFont="1">
      <alignment readingOrder="0" shrinkToFit="0" wrapText="1"/>
    </xf>
    <xf borderId="11" fillId="6" fontId="17" numFmtId="0" xfId="0" applyAlignment="1" applyBorder="1" applyFont="1">
      <alignment horizontal="center" shrinkToFit="0" vertical="center" wrapText="1"/>
    </xf>
    <xf borderId="11" fillId="6" fontId="17" numFmtId="0" xfId="0" applyAlignment="1" applyBorder="1" applyFont="1">
      <alignment horizontal="center" readingOrder="0" shrinkToFit="0" vertical="center" wrapText="1"/>
    </xf>
    <xf borderId="11" fillId="7" fontId="16" numFmtId="168" xfId="0" applyAlignment="1" applyBorder="1" applyFont="1" applyNumberFormat="1">
      <alignment horizontal="center" readingOrder="0"/>
    </xf>
    <xf borderId="11" fillId="7" fontId="16" numFmtId="0" xfId="0" applyAlignment="1" applyBorder="1" applyFont="1">
      <alignment horizontal="center" readingOrder="0" shrinkToFit="0" wrapText="1"/>
    </xf>
    <xf borderId="0" fillId="6" fontId="22" numFmtId="0" xfId="0" applyAlignment="1" applyFont="1">
      <alignment horizontal="center" shrinkToFit="0" vertical="center" wrapText="1"/>
    </xf>
    <xf borderId="11" fillId="2" fontId="16" numFmtId="0" xfId="0" applyAlignment="1" applyBorder="1" applyFont="1">
      <alignment horizontal="center" shrinkToFit="0" wrapText="1"/>
    </xf>
    <xf borderId="17" fillId="2" fontId="16" numFmtId="0" xfId="0" applyAlignment="1" applyBorder="1" applyFont="1">
      <alignment horizontal="center" readingOrder="0" shrinkToFit="0" wrapText="1"/>
    </xf>
    <xf borderId="17" fillId="2" fontId="16" numFmtId="0" xfId="0" applyAlignment="1" applyBorder="1" applyFont="1">
      <alignment horizontal="center" shrinkToFit="0" wrapText="1"/>
    </xf>
    <xf borderId="17" fillId="2" fontId="15" numFmtId="0" xfId="0" applyAlignment="1" applyBorder="1" applyFont="1">
      <alignment horizontal="center" readingOrder="0" vertical="center"/>
    </xf>
    <xf borderId="0" fillId="2" fontId="15" numFmtId="0" xfId="0" applyAlignment="1" applyFont="1">
      <alignment vertical="center"/>
    </xf>
    <xf borderId="0" fillId="2" fontId="15" numFmtId="0" xfId="0" applyAlignment="1" applyFont="1">
      <alignment shrinkToFit="0" vertical="center" wrapText="1"/>
    </xf>
    <xf borderId="0" fillId="2" fontId="5" numFmtId="0" xfId="0" applyFont="1"/>
    <xf borderId="11" fillId="5" fontId="16" numFmtId="173" xfId="0" applyAlignment="1" applyBorder="1" applyFont="1" applyNumberFormat="1">
      <alignment horizontal="center" readingOrder="0" vertical="center"/>
    </xf>
    <xf borderId="14" fillId="5" fontId="16" numFmtId="178" xfId="0" applyAlignment="1" applyBorder="1" applyFont="1" applyNumberFormat="1">
      <alignment horizontal="center" readingOrder="0"/>
    </xf>
    <xf borderId="11" fillId="10" fontId="16" numFmtId="0" xfId="0" applyAlignment="1" applyBorder="1" applyFont="1">
      <alignment horizontal="center" readingOrder="0" shrinkToFit="0" vertical="center" wrapText="1"/>
    </xf>
    <xf borderId="11" fillId="5" fontId="16" numFmtId="166" xfId="0" applyAlignment="1" applyBorder="1" applyFont="1" applyNumberFormat="1">
      <alignment horizontal="center" readingOrder="0" shrinkToFit="0" vertical="center" wrapText="1"/>
    </xf>
    <xf borderId="0" fillId="0" fontId="33" numFmtId="0" xfId="0" applyAlignment="1" applyFont="1">
      <alignment readingOrder="0" shrinkToFit="0" wrapText="1"/>
    </xf>
    <xf borderId="12" fillId="0" fontId="5" numFmtId="0" xfId="0" applyBorder="1" applyFont="1"/>
    <xf borderId="44" fillId="0" fontId="15" numFmtId="0" xfId="0" applyAlignment="1" applyBorder="1" applyFont="1">
      <alignment shrinkToFit="0" wrapText="1"/>
    </xf>
    <xf borderId="55" fillId="0" fontId="15" numFmtId="0" xfId="0" applyAlignment="1" applyBorder="1" applyFont="1">
      <alignment horizontal="center" readingOrder="0" vertical="center"/>
    </xf>
    <xf borderId="50" fillId="0" fontId="3" numFmtId="0" xfId="0" applyBorder="1" applyFont="1"/>
    <xf borderId="11" fillId="5" fontId="16" numFmtId="180" xfId="0" applyAlignment="1" applyBorder="1" applyFont="1" applyNumberFormat="1">
      <alignment horizontal="center" readingOrder="0" shrinkToFit="0" vertical="center" wrapText="1"/>
    </xf>
    <xf borderId="56" fillId="9" fontId="22" numFmtId="164" xfId="0" applyAlignment="1" applyBorder="1" applyFont="1" applyNumberFormat="1">
      <alignment horizontal="center" readingOrder="0" shrinkToFit="0" vertical="center" wrapText="1"/>
    </xf>
    <xf borderId="11" fillId="5" fontId="16" numFmtId="168" xfId="0" applyAlignment="1" applyBorder="1" applyFont="1" applyNumberFormat="1">
      <alignment horizontal="center" readingOrder="0" shrinkToFit="0" vertical="center" wrapText="1"/>
    </xf>
    <xf borderId="56" fillId="9" fontId="22" numFmtId="0" xfId="0" applyAlignment="1" applyBorder="1" applyFont="1">
      <alignment horizontal="center" shrinkToFit="0" vertical="center" wrapText="1"/>
    </xf>
    <xf borderId="55" fillId="0" fontId="15" numFmtId="0" xfId="0" applyAlignment="1" applyBorder="1" applyFont="1">
      <alignment horizontal="center" shrinkToFit="0" vertical="center" wrapText="1"/>
    </xf>
    <xf borderId="57" fillId="0" fontId="3" numFmtId="0" xfId="0" applyBorder="1" applyFont="1"/>
    <xf borderId="8" fillId="5" fontId="22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center" shrinkToFit="0" vertical="center" wrapText="1"/>
    </xf>
    <xf quotePrefix="1" borderId="11" fillId="0" fontId="16" numFmtId="0" xfId="0" applyAlignment="1" applyBorder="1" applyFont="1">
      <alignment horizontal="center" readingOrder="0" shrinkToFit="0" vertical="center" wrapText="1"/>
    </xf>
    <xf borderId="11" fillId="7" fontId="46" numFmtId="0" xfId="0" applyAlignment="1" applyBorder="1" applyFont="1">
      <alignment horizontal="center" readingOrder="0" shrinkToFit="0" vertical="center" wrapText="1"/>
    </xf>
    <xf quotePrefix="1" borderId="11" fillId="5" fontId="25" numFmtId="0" xfId="0" applyAlignment="1" applyBorder="1" applyFont="1">
      <alignment horizontal="center" readingOrder="0" shrinkToFit="0" vertical="center" wrapText="1"/>
    </xf>
    <xf borderId="18" fillId="0" fontId="15" numFmtId="0" xfId="0" applyAlignment="1" applyBorder="1" applyFont="1">
      <alignment shrinkToFit="0" wrapText="1"/>
    </xf>
    <xf borderId="58" fillId="3" fontId="73" numFmtId="0" xfId="0" applyAlignment="1" applyBorder="1" applyFont="1">
      <alignment horizontal="center" shrinkToFit="0" vertical="center" wrapText="1"/>
    </xf>
    <xf borderId="59" fillId="0" fontId="3" numFmtId="0" xfId="0" applyBorder="1" applyFont="1"/>
    <xf borderId="60" fillId="0" fontId="3" numFmtId="0" xfId="0" applyBorder="1" applyFont="1"/>
    <xf borderId="8" fillId="0" fontId="74" numFmtId="0" xfId="0" applyAlignment="1" applyBorder="1" applyFont="1">
      <alignment horizontal="center" readingOrder="0" shrinkToFit="0" vertical="center" wrapText="1"/>
    </xf>
    <xf borderId="25" fillId="8" fontId="15" numFmtId="0" xfId="0" applyAlignment="1" applyBorder="1" applyFont="1">
      <alignment horizontal="left" shrinkToFit="0" wrapText="1"/>
    </xf>
    <xf borderId="25" fillId="8" fontId="15" numFmtId="0" xfId="0" applyAlignment="1" applyBorder="1" applyFont="1">
      <alignment shrinkToFit="0" wrapText="1"/>
    </xf>
    <xf borderId="11" fillId="5" fontId="16" numFmtId="181" xfId="0" applyAlignment="1" applyBorder="1" applyFont="1" applyNumberFormat="1">
      <alignment horizontal="center" readingOrder="0" shrinkToFit="0" vertical="center" wrapText="1"/>
    </xf>
    <xf borderId="11" fillId="5" fontId="16" numFmtId="182" xfId="0" applyAlignment="1" applyBorder="1" applyFont="1" applyNumberFormat="1">
      <alignment horizontal="center" readingOrder="0" shrinkToFit="0" vertical="center" wrapText="1"/>
    </xf>
    <xf borderId="11" fillId="8" fontId="16" numFmtId="165" xfId="0" applyAlignment="1" applyBorder="1" applyFont="1" applyNumberFormat="1">
      <alignment horizontal="center" readingOrder="0" shrinkToFit="0" vertical="center" wrapText="1"/>
    </xf>
    <xf borderId="0" fillId="0" fontId="33" numFmtId="0" xfId="0" applyAlignment="1" applyFont="1">
      <alignment readingOrder="0" shrinkToFit="0" wrapText="0"/>
    </xf>
    <xf borderId="0" fillId="0" fontId="33" numFmtId="0" xfId="0" applyAlignment="1" applyFont="1">
      <alignment shrinkToFit="0" wrapText="0"/>
    </xf>
    <xf borderId="11" fillId="5" fontId="25" numFmtId="165" xfId="0" applyAlignment="1" applyBorder="1" applyFont="1" applyNumberFormat="1">
      <alignment horizontal="center" readingOrder="0" shrinkToFit="0" vertical="center" wrapText="1"/>
    </xf>
    <xf borderId="11" fillId="5" fontId="75" numFmtId="167" xfId="0" applyAlignment="1" applyBorder="1" applyFont="1" applyNumberFormat="1">
      <alignment horizontal="center" readingOrder="0" shrinkToFit="0" vertical="center" wrapText="1"/>
    </xf>
    <xf borderId="11" fillId="5" fontId="25" numFmtId="164" xfId="0" applyAlignment="1" applyBorder="1" applyFont="1" applyNumberFormat="1">
      <alignment horizontal="center" readingOrder="0" shrinkToFit="0" vertical="center" wrapText="1"/>
    </xf>
    <xf borderId="7" fillId="0" fontId="15" numFmtId="0" xfId="0" applyAlignment="1" applyBorder="1" applyFont="1">
      <alignment horizontal="center" readingOrder="0" shrinkToFit="0" vertical="center" wrapText="1"/>
    </xf>
    <xf borderId="11" fillId="5" fontId="17" numFmtId="171" xfId="0" applyAlignment="1" applyBorder="1" applyFont="1" applyNumberFormat="1">
      <alignment horizontal="center" readingOrder="0" shrinkToFit="0" vertical="center" wrapText="1"/>
    </xf>
    <xf borderId="11" fillId="5" fontId="17" numFmtId="49" xfId="0" applyAlignment="1" applyBorder="1" applyFont="1" applyNumberFormat="1">
      <alignment horizontal="center" readingOrder="0" shrinkToFit="0" vertical="center" wrapText="1"/>
    </xf>
    <xf borderId="0" fillId="0" fontId="56" numFmtId="0" xfId="0" applyAlignment="1" applyFont="1">
      <alignment readingOrder="0" shrinkToFit="0" wrapText="1"/>
    </xf>
    <xf borderId="14" fillId="5" fontId="16" numFmtId="165" xfId="0" applyAlignment="1" applyBorder="1" applyFont="1" applyNumberFormat="1">
      <alignment horizontal="center" readingOrder="0" shrinkToFit="0" vertical="center" wrapText="1"/>
    </xf>
    <xf borderId="11" fillId="0" fontId="15" numFmtId="0" xfId="0" applyAlignment="1" applyBorder="1" applyFont="1">
      <alignment horizontal="center" shrinkToFit="0" vertical="bottom" wrapText="1"/>
    </xf>
    <xf borderId="0" fillId="0" fontId="16" numFmtId="0" xfId="0" applyAlignment="1" applyFont="1">
      <alignment horizontal="center" readingOrder="0" vertical="center"/>
    </xf>
    <xf borderId="11" fillId="5" fontId="17" numFmtId="166" xfId="0" applyAlignment="1" applyBorder="1" applyFont="1" applyNumberFormat="1">
      <alignment horizontal="center" readingOrder="0" shrinkToFit="0" vertical="center" wrapText="1"/>
    </xf>
    <xf borderId="11" fillId="5" fontId="16" numFmtId="183" xfId="0" applyAlignment="1" applyBorder="1" applyFont="1" applyNumberFormat="1">
      <alignment horizontal="center" readingOrder="0" shrinkToFit="0" vertical="center" wrapText="1"/>
    </xf>
    <xf borderId="11" fillId="5" fontId="16" numFmtId="184" xfId="0" applyAlignment="1" applyBorder="1" applyFont="1" applyNumberFormat="1">
      <alignment horizontal="center" readingOrder="0" shrinkToFit="0" vertical="center" wrapText="1"/>
    </xf>
    <xf borderId="11" fillId="0" fontId="76" numFmtId="0" xfId="0" applyAlignment="1" applyBorder="1" applyFont="1">
      <alignment readingOrder="0" shrinkToFit="0" wrapText="1"/>
    </xf>
    <xf borderId="11" fillId="0" fontId="77" numFmtId="0" xfId="0" applyAlignment="1" applyBorder="1" applyFont="1">
      <alignment readingOrder="0" shrinkToFit="0" wrapText="1"/>
    </xf>
    <xf borderId="0" fillId="0" fontId="78" numFmtId="0" xfId="0" applyAlignment="1" applyFont="1">
      <alignment horizontal="center" readingOrder="0" shrinkToFit="0" vertical="center" wrapText="1"/>
    </xf>
    <xf borderId="0" fillId="0" fontId="79" numFmtId="0" xfId="0" applyAlignment="1" applyFont="1">
      <alignment horizontal="center" readingOrder="0" shrinkToFit="0" wrapText="1"/>
    </xf>
    <xf borderId="14" fillId="5" fontId="16" numFmtId="164" xfId="0" applyAlignment="1" applyBorder="1" applyFont="1" applyNumberFormat="1">
      <alignment horizontal="center" readingOrder="0" shrinkToFit="0" vertical="center" wrapText="1"/>
    </xf>
    <xf borderId="14" fillId="5" fontId="16" numFmtId="167" xfId="0" applyAlignment="1" applyBorder="1" applyFont="1" applyNumberFormat="1">
      <alignment horizontal="center" readingOrder="0" shrinkToFit="0" vertical="center" wrapText="1"/>
    </xf>
    <xf borderId="14" fillId="5" fontId="16" numFmtId="183" xfId="0" applyAlignment="1" applyBorder="1" applyFont="1" applyNumberFormat="1">
      <alignment horizontal="center" readingOrder="0" shrinkToFit="0" vertical="center" wrapText="1"/>
    </xf>
    <xf borderId="0" fillId="0" fontId="18" numFmtId="0" xfId="0" applyAlignment="1" applyFont="1">
      <alignment readingOrder="0" shrinkToFit="0" wrapText="1"/>
    </xf>
    <xf borderId="12" fillId="5" fontId="16" numFmtId="165" xfId="0" applyAlignment="1" applyBorder="1" applyFont="1" applyNumberFormat="1">
      <alignment horizontal="center" readingOrder="0" shrinkToFit="0" vertical="center" wrapText="1"/>
    </xf>
    <xf borderId="14" fillId="7" fontId="16" numFmtId="165" xfId="0" applyAlignment="1" applyBorder="1" applyFont="1" applyNumberFormat="1">
      <alignment horizontal="center" readingOrder="0" shrinkToFit="0" vertical="center" wrapText="1"/>
    </xf>
    <xf borderId="0" fillId="0" fontId="76" numFmtId="0" xfId="0" applyAlignment="1" applyFont="1">
      <alignment readingOrder="0" shrinkToFit="0" wrapText="1"/>
    </xf>
    <xf borderId="11" fillId="0" fontId="80" numFmtId="0" xfId="0" applyAlignment="1" applyBorder="1" applyFont="1">
      <alignment horizontal="center" readingOrder="0" shrinkToFit="0" vertical="center" wrapText="1"/>
    </xf>
    <xf borderId="11" fillId="6" fontId="16" numFmtId="0" xfId="0" applyAlignment="1" applyBorder="1" applyFont="1">
      <alignment horizontal="center" shrinkToFit="0" vertical="center" wrapText="1"/>
    </xf>
    <xf borderId="14" fillId="2" fontId="16" numFmtId="0" xfId="0" applyAlignment="1" applyBorder="1" applyFont="1">
      <alignment horizontal="center" readingOrder="0" shrinkToFit="0" vertical="center" wrapText="1"/>
    </xf>
    <xf borderId="11" fillId="7" fontId="17" numFmtId="167" xfId="0" applyAlignment="1" applyBorder="1" applyFont="1" applyNumberFormat="1">
      <alignment horizontal="center" readingOrder="0" shrinkToFit="0" vertical="center" wrapText="1"/>
    </xf>
    <xf borderId="60" fillId="6" fontId="23" numFmtId="0" xfId="0" applyAlignment="1" applyBorder="1" applyFont="1">
      <alignment readingOrder="0" shrinkToFit="0" wrapText="1"/>
    </xf>
    <xf borderId="25" fillId="6" fontId="23" numFmtId="0" xfId="0" applyAlignment="1" applyBorder="1" applyFont="1">
      <alignment shrinkToFit="0" wrapText="1"/>
    </xf>
    <xf borderId="0" fillId="0" fontId="81" numFmtId="0" xfId="0" applyAlignment="1" applyFont="1">
      <alignment readingOrder="0" shrinkToFit="0" wrapText="1"/>
    </xf>
    <xf borderId="0" fillId="0" fontId="82" numFmtId="0" xfId="0" applyAlignment="1" applyFont="1">
      <alignment readingOrder="0" shrinkToFit="0" wrapText="1"/>
    </xf>
    <xf borderId="0" fillId="8" fontId="5" numFmtId="0" xfId="0" applyFont="1"/>
    <xf borderId="14" fillId="2" fontId="17" numFmtId="0" xfId="0" applyAlignment="1" applyBorder="1" applyFont="1">
      <alignment horizontal="center" readingOrder="0" shrinkToFit="0" vertical="center" wrapText="1"/>
    </xf>
    <xf borderId="11" fillId="0" fontId="83" numFmtId="0" xfId="0" applyAlignment="1" applyBorder="1" applyFont="1">
      <alignment readingOrder="0" shrinkToFit="0" wrapText="1"/>
    </xf>
    <xf borderId="14" fillId="7" fontId="16" numFmtId="0" xfId="0" applyAlignment="1" applyBorder="1" applyFont="1">
      <alignment horizontal="center" readingOrder="0" shrinkToFit="0" vertical="center" wrapText="1"/>
    </xf>
    <xf borderId="11" fillId="10" fontId="16" numFmtId="0" xfId="0" applyAlignment="1" applyBorder="1" applyFont="1">
      <alignment horizontal="center" shrinkToFit="0" vertical="center" wrapText="1"/>
    </xf>
    <xf borderId="61" fillId="3" fontId="84" numFmtId="0" xfId="0" applyAlignment="1" applyBorder="1" applyFont="1">
      <alignment horizontal="center" readingOrder="0" shrinkToFit="0" vertical="center" wrapText="1"/>
    </xf>
    <xf borderId="62" fillId="0" fontId="85" numFmtId="0" xfId="0" applyAlignment="1" applyBorder="1" applyFont="1">
      <alignment horizontal="center" readingOrder="0" shrinkToFit="0" vertical="center" wrapText="1"/>
    </xf>
    <xf borderId="11" fillId="0" fontId="86" numFmtId="0" xfId="0" applyAlignment="1" applyBorder="1" applyFont="1">
      <alignment horizontal="center" readingOrder="0" shrinkToFit="0" wrapText="1"/>
    </xf>
    <xf borderId="54" fillId="0" fontId="15" numFmtId="0" xfId="0" applyAlignment="1" applyBorder="1" applyFont="1">
      <alignment readingOrder="0" shrinkToFit="0" wrapText="1"/>
    </xf>
    <xf borderId="0" fillId="5" fontId="87" numFmtId="165" xfId="0" applyAlignment="1" applyFont="1" applyNumberFormat="1">
      <alignment horizontal="center" readingOrder="0" vertical="center"/>
    </xf>
    <xf borderId="0" fillId="7" fontId="5" numFmtId="0" xfId="0" applyFont="1"/>
    <xf borderId="11" fillId="13" fontId="16" numFmtId="165" xfId="0" applyAlignment="1" applyBorder="1" applyFont="1" applyNumberFormat="1">
      <alignment horizontal="center" readingOrder="0" shrinkToFit="0" vertical="center" wrapText="1"/>
    </xf>
    <xf borderId="11" fillId="8" fontId="16" numFmtId="0" xfId="0" applyAlignment="1" applyBorder="1" applyFont="1">
      <alignment horizontal="center" readingOrder="0" vertical="center"/>
    </xf>
    <xf borderId="0" fillId="0" fontId="88" numFmtId="0" xfId="0" applyAlignment="1" applyFont="1">
      <alignment readingOrder="0"/>
    </xf>
    <xf borderId="0" fillId="8" fontId="88" numFmtId="0" xfId="0" applyAlignment="1" applyFont="1">
      <alignment readingOrder="0"/>
    </xf>
    <xf borderId="0" fillId="8" fontId="89" numFmtId="0" xfId="0" applyFont="1"/>
    <xf borderId="11" fillId="0" fontId="15" numFmtId="0" xfId="0" applyAlignment="1" applyBorder="1" applyFont="1">
      <alignment horizontal="center" vertical="bottom"/>
    </xf>
    <xf borderId="11" fillId="2" fontId="23" numFmtId="0" xfId="0" applyAlignment="1" applyBorder="1" applyFont="1">
      <alignment readingOrder="0" shrinkToFit="0" wrapText="1"/>
    </xf>
    <xf borderId="11" fillId="2" fontId="17" numFmtId="0" xfId="0" applyAlignment="1" applyBorder="1" applyFont="1">
      <alignment horizontal="center" shrinkToFit="0" vertical="center" wrapText="1"/>
    </xf>
    <xf borderId="27" fillId="2" fontId="90" numFmtId="0" xfId="0" applyAlignment="1" applyBorder="1" applyFont="1">
      <alignment horizontal="center" shrinkToFit="0" vertical="center" wrapText="1"/>
    </xf>
    <xf borderId="0" fillId="2" fontId="91" numFmtId="0" xfId="0" applyFont="1"/>
    <xf borderId="0" fillId="2" fontId="16" numFmtId="0" xfId="0" applyAlignment="1" applyFont="1">
      <alignment horizontal="left" vertical="center"/>
    </xf>
    <xf borderId="37" fillId="0" fontId="15" numFmtId="0" xfId="0" applyAlignment="1" applyBorder="1" applyFont="1">
      <alignment readingOrder="0" vertical="center"/>
    </xf>
    <xf borderId="11" fillId="12" fontId="17" numFmtId="0" xfId="0" applyAlignment="1" applyBorder="1" applyFont="1">
      <alignment horizontal="center" readingOrder="0"/>
    </xf>
    <xf borderId="11" fillId="5" fontId="75" numFmtId="0" xfId="0" applyAlignment="1" applyBorder="1" applyFont="1">
      <alignment horizontal="center" readingOrder="0"/>
    </xf>
    <xf borderId="11" fillId="2" fontId="17" numFmtId="0" xfId="0" applyAlignment="1" applyBorder="1" applyFont="1">
      <alignment horizontal="center" readingOrder="0" vertical="center"/>
    </xf>
    <xf borderId="11" fillId="5" fontId="25" numFmtId="170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1.86"/>
    <col customWidth="1" min="2" max="2" width="14.71"/>
    <col customWidth="1" min="3" max="4" width="21.57"/>
    <col customWidth="1" min="5" max="5" width="13.29"/>
    <col customWidth="1" min="6" max="6" width="7.43"/>
    <col customWidth="1" min="7" max="7" width="13.29"/>
    <col customWidth="1" min="8" max="8" width="12.57"/>
    <col customWidth="1" min="9" max="9" width="5.86"/>
    <col customWidth="1" min="10" max="10" width="14.0"/>
    <col customWidth="1" min="11" max="11" width="8.0"/>
    <col customWidth="1" min="12" max="12" width="6.86"/>
    <col customWidth="1" min="13" max="13" width="8.57"/>
    <col customWidth="1" min="14" max="14" width="9.29"/>
    <col customWidth="1" min="15" max="15" width="8.43"/>
    <col customWidth="1" min="16" max="16" width="63.29"/>
    <col customWidth="1" min="17" max="17" width="17.29"/>
    <col customWidth="1" min="18" max="18" width="8.71"/>
    <col customWidth="1" min="19" max="19" width="11.29"/>
    <col customWidth="1" min="20" max="21" width="8.71"/>
    <col customWidth="1" min="22" max="22" width="11.29"/>
    <col customWidth="1" min="23" max="23" width="11.71"/>
    <col customWidth="1" min="24" max="24" width="10.57"/>
    <col customWidth="1" min="25" max="33" width="8.71"/>
  </cols>
  <sheetData>
    <row r="1" ht="40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5" t="s">
        <v>1</v>
      </c>
      <c r="L1" s="3"/>
      <c r="M1" s="4"/>
      <c r="N1" s="6"/>
      <c r="P1" s="7"/>
    </row>
    <row r="2" ht="39.75" customHeight="1">
      <c r="A2" s="8" t="s">
        <v>2</v>
      </c>
      <c r="B2" s="9" t="s">
        <v>3</v>
      </c>
      <c r="C2" s="10" t="s">
        <v>4</v>
      </c>
      <c r="D2" s="9" t="s">
        <v>5</v>
      </c>
      <c r="E2" s="9" t="s">
        <v>6</v>
      </c>
      <c r="F2" s="11" t="s">
        <v>7</v>
      </c>
      <c r="G2" s="11" t="s">
        <v>8</v>
      </c>
      <c r="H2" s="9" t="s">
        <v>9</v>
      </c>
      <c r="I2" s="9" t="s">
        <v>10</v>
      </c>
      <c r="J2" s="12" t="s">
        <v>11</v>
      </c>
      <c r="K2" s="13" t="s">
        <v>12</v>
      </c>
      <c r="L2" s="13" t="s">
        <v>13</v>
      </c>
      <c r="M2" s="13" t="s">
        <v>14</v>
      </c>
      <c r="N2" s="14" t="s">
        <v>15</v>
      </c>
      <c r="O2" s="15" t="s">
        <v>16</v>
      </c>
      <c r="Q2" s="16" t="s">
        <v>17</v>
      </c>
      <c r="R2" s="17" t="s">
        <v>18</v>
      </c>
      <c r="S2" s="18"/>
    </row>
    <row r="3" outlineLevel="1">
      <c r="A3" s="19" t="b">
        <v>0</v>
      </c>
      <c r="B3" s="20" t="s">
        <v>19</v>
      </c>
      <c r="C3" s="21" t="s">
        <v>20</v>
      </c>
      <c r="D3" s="20" t="s">
        <v>21</v>
      </c>
      <c r="E3" s="21">
        <v>3.5</v>
      </c>
      <c r="F3" s="22">
        <v>1.0</v>
      </c>
      <c r="G3" s="23" t="s">
        <v>22</v>
      </c>
      <c r="H3" s="22" t="s">
        <v>23</v>
      </c>
      <c r="I3" s="22" t="s">
        <v>23</v>
      </c>
      <c r="J3" s="24" t="s">
        <v>24</v>
      </c>
      <c r="K3" s="19" t="b">
        <v>1</v>
      </c>
      <c r="L3" s="19" t="b">
        <v>1</v>
      </c>
      <c r="M3" s="19" t="b">
        <v>1</v>
      </c>
      <c r="N3" s="19" t="b">
        <v>1</v>
      </c>
      <c r="O3" s="19" t="b">
        <v>1</v>
      </c>
      <c r="Q3" s="25"/>
      <c r="R3" s="26"/>
      <c r="S3" s="26"/>
    </row>
    <row r="4" outlineLevel="1">
      <c r="A4" s="19" t="b">
        <v>0</v>
      </c>
      <c r="B4" s="27" t="s">
        <v>25</v>
      </c>
      <c r="C4" s="28" t="s">
        <v>26</v>
      </c>
      <c r="D4" s="27" t="s">
        <v>21</v>
      </c>
      <c r="E4" s="27">
        <v>1.2</v>
      </c>
      <c r="F4" s="29">
        <v>1.0</v>
      </c>
      <c r="G4" s="30" t="s">
        <v>22</v>
      </c>
      <c r="H4" s="29" t="s">
        <v>23</v>
      </c>
      <c r="I4" s="29" t="s">
        <v>23</v>
      </c>
      <c r="J4" s="31">
        <v>46059.0</v>
      </c>
      <c r="K4" s="19" t="b">
        <v>1</v>
      </c>
      <c r="L4" s="19" t="b">
        <v>0</v>
      </c>
      <c r="M4" s="19" t="b">
        <v>0</v>
      </c>
      <c r="N4" s="19" t="b">
        <v>0</v>
      </c>
      <c r="O4" s="19" t="b">
        <v>0</v>
      </c>
      <c r="Q4" s="20" t="s">
        <v>27</v>
      </c>
      <c r="R4" s="32" t="s">
        <v>28</v>
      </c>
      <c r="S4" s="33"/>
    </row>
    <row r="5" outlineLevel="1">
      <c r="A5" s="19" t="b">
        <v>0</v>
      </c>
      <c r="B5" s="34" t="s">
        <v>29</v>
      </c>
      <c r="C5" s="35" t="s">
        <v>20</v>
      </c>
      <c r="D5" s="35" t="s">
        <v>21</v>
      </c>
      <c r="E5" s="35">
        <v>12.0</v>
      </c>
      <c r="F5" s="35">
        <v>2.0</v>
      </c>
      <c r="G5" s="35" t="s">
        <v>30</v>
      </c>
      <c r="H5" s="34" t="s">
        <v>31</v>
      </c>
      <c r="I5" s="34" t="s">
        <v>31</v>
      </c>
      <c r="J5" s="36" t="s">
        <v>32</v>
      </c>
      <c r="K5" s="19" t="b">
        <v>1</v>
      </c>
      <c r="L5" s="19" t="b">
        <v>1</v>
      </c>
      <c r="M5" s="19" t="b">
        <v>1</v>
      </c>
      <c r="N5" s="19" t="b">
        <v>1</v>
      </c>
      <c r="O5" s="19" t="b">
        <v>1</v>
      </c>
      <c r="P5" s="37" t="s">
        <v>33</v>
      </c>
      <c r="Q5" s="27" t="s">
        <v>34</v>
      </c>
      <c r="R5" s="38" t="s">
        <v>35</v>
      </c>
      <c r="S5" s="39"/>
    </row>
    <row r="6" outlineLevel="1">
      <c r="A6" s="19" t="b">
        <v>0</v>
      </c>
      <c r="B6" s="27" t="s">
        <v>36</v>
      </c>
      <c r="C6" s="28" t="s">
        <v>20</v>
      </c>
      <c r="D6" s="27" t="s">
        <v>21</v>
      </c>
      <c r="E6" s="27">
        <v>5.5</v>
      </c>
      <c r="F6" s="27">
        <v>2.0</v>
      </c>
      <c r="G6" s="30" t="s">
        <v>37</v>
      </c>
      <c r="H6" s="29" t="s">
        <v>23</v>
      </c>
      <c r="I6" s="29" t="s">
        <v>31</v>
      </c>
      <c r="J6" s="40" t="s">
        <v>38</v>
      </c>
      <c r="K6" s="19" t="b">
        <v>1</v>
      </c>
      <c r="L6" s="19" t="b">
        <v>1</v>
      </c>
      <c r="M6" s="19" t="b">
        <v>1</v>
      </c>
      <c r="N6" s="19" t="b">
        <v>1</v>
      </c>
      <c r="O6" s="19" t="b">
        <v>1</v>
      </c>
      <c r="Q6" s="27" t="s">
        <v>39</v>
      </c>
      <c r="R6" s="38" t="s">
        <v>40</v>
      </c>
      <c r="S6" s="39"/>
    </row>
    <row r="7" outlineLevel="1">
      <c r="A7" s="19" t="b">
        <v>0</v>
      </c>
      <c r="B7" s="27" t="s">
        <v>41</v>
      </c>
      <c r="C7" s="28" t="s">
        <v>20</v>
      </c>
      <c r="D7" s="27" t="s">
        <v>21</v>
      </c>
      <c r="E7" s="27">
        <v>0.5</v>
      </c>
      <c r="F7" s="29">
        <v>1.0</v>
      </c>
      <c r="G7" s="30" t="s">
        <v>34</v>
      </c>
      <c r="H7" s="29" t="s">
        <v>23</v>
      </c>
      <c r="I7" s="29" t="s">
        <v>23</v>
      </c>
      <c r="J7" s="41">
        <v>46034.0</v>
      </c>
      <c r="K7" s="19" t="b">
        <v>1</v>
      </c>
      <c r="L7" s="19" t="b">
        <v>0</v>
      </c>
      <c r="M7" s="19" t="b">
        <v>1</v>
      </c>
      <c r="N7" s="19" t="b">
        <v>1</v>
      </c>
      <c r="O7" s="19" t="b">
        <v>0</v>
      </c>
      <c r="Q7" s="27" t="s">
        <v>42</v>
      </c>
      <c r="R7" s="38" t="s">
        <v>43</v>
      </c>
      <c r="S7" s="39"/>
      <c r="W7" s="42"/>
      <c r="X7" s="43"/>
      <c r="Y7" s="43"/>
      <c r="Z7" s="43"/>
      <c r="AA7" s="44"/>
      <c r="AB7" s="44"/>
    </row>
    <row r="8" outlineLevel="1">
      <c r="A8" s="19" t="b">
        <v>0</v>
      </c>
      <c r="B8" s="45" t="s">
        <v>44</v>
      </c>
      <c r="C8" s="46" t="s">
        <v>20</v>
      </c>
      <c r="D8" s="46" t="s">
        <v>21</v>
      </c>
      <c r="E8" s="45">
        <v>8.0</v>
      </c>
      <c r="F8" s="45">
        <v>2.0</v>
      </c>
      <c r="G8" s="47" t="s">
        <v>45</v>
      </c>
      <c r="H8" s="45" t="s">
        <v>31</v>
      </c>
      <c r="I8" s="45" t="s">
        <v>23</v>
      </c>
      <c r="J8" s="48" t="s">
        <v>46</v>
      </c>
      <c r="K8" s="19" t="b">
        <v>0</v>
      </c>
      <c r="L8" s="19" t="b">
        <v>0</v>
      </c>
      <c r="M8" s="19" t="b">
        <v>0</v>
      </c>
      <c r="N8" s="19" t="b">
        <v>0</v>
      </c>
      <c r="O8" s="19" t="b">
        <v>0</v>
      </c>
      <c r="P8" s="49" t="s">
        <v>46</v>
      </c>
      <c r="Q8" s="50" t="s">
        <v>47</v>
      </c>
      <c r="R8" s="51" t="s">
        <v>48</v>
      </c>
      <c r="S8" s="39"/>
    </row>
    <row r="9" outlineLevel="1">
      <c r="A9" s="19" t="b">
        <v>0</v>
      </c>
      <c r="B9" s="27" t="s">
        <v>49</v>
      </c>
      <c r="C9" s="28" t="s">
        <v>20</v>
      </c>
      <c r="D9" s="27" t="s">
        <v>21</v>
      </c>
      <c r="E9" s="27">
        <v>1.5</v>
      </c>
      <c r="F9" s="29">
        <v>1.0</v>
      </c>
      <c r="G9" s="30" t="s">
        <v>50</v>
      </c>
      <c r="H9" s="29" t="s">
        <v>23</v>
      </c>
      <c r="I9" s="29" t="s">
        <v>23</v>
      </c>
      <c r="J9" s="41">
        <v>46052.0</v>
      </c>
      <c r="K9" s="19" t="b">
        <v>1</v>
      </c>
      <c r="L9" s="19" t="b">
        <v>0</v>
      </c>
      <c r="M9" s="19" t="b">
        <v>1</v>
      </c>
      <c r="N9" s="19" t="b">
        <v>1</v>
      </c>
      <c r="O9" s="19" t="b">
        <v>0</v>
      </c>
      <c r="P9" s="52" t="s">
        <v>51</v>
      </c>
      <c r="R9" s="17" t="s">
        <v>52</v>
      </c>
      <c r="S9" s="53"/>
      <c r="V9" s="54" t="s">
        <v>53</v>
      </c>
      <c r="W9" s="55"/>
      <c r="X9" s="55"/>
      <c r="Y9" s="55"/>
      <c r="Z9" s="56"/>
    </row>
    <row r="10" outlineLevel="1">
      <c r="A10" s="19" t="b">
        <v>1</v>
      </c>
      <c r="B10" s="27" t="s">
        <v>54</v>
      </c>
      <c r="C10" s="28" t="s">
        <v>20</v>
      </c>
      <c r="D10" s="27" t="s">
        <v>55</v>
      </c>
      <c r="E10" s="28">
        <v>8.0</v>
      </c>
      <c r="F10" s="28">
        <v>3.0</v>
      </c>
      <c r="G10" s="57" t="s">
        <v>45</v>
      </c>
      <c r="H10" s="27" t="s">
        <v>31</v>
      </c>
      <c r="I10" s="27" t="s">
        <v>23</v>
      </c>
      <c r="J10" s="58" t="s">
        <v>56</v>
      </c>
      <c r="K10" s="19" t="b">
        <v>1</v>
      </c>
      <c r="L10" s="19" t="b">
        <v>1</v>
      </c>
      <c r="M10" s="19" t="b">
        <v>1</v>
      </c>
      <c r="N10" s="19" t="b">
        <v>1</v>
      </c>
      <c r="O10" s="59" t="b">
        <v>1</v>
      </c>
      <c r="Q10" s="60" t="s">
        <v>57</v>
      </c>
      <c r="R10" s="61" t="s">
        <v>58</v>
      </c>
      <c r="S10" s="33"/>
      <c r="V10" s="62" t="s">
        <v>59</v>
      </c>
      <c r="W10" s="63"/>
      <c r="X10" s="63"/>
      <c r="Y10" s="63"/>
      <c r="Z10" s="64"/>
    </row>
    <row r="11" outlineLevel="1">
      <c r="A11" s="19" t="b">
        <v>0</v>
      </c>
      <c r="B11" s="27" t="s">
        <v>60</v>
      </c>
      <c r="C11" s="28" t="s">
        <v>20</v>
      </c>
      <c r="D11" s="27" t="s">
        <v>21</v>
      </c>
      <c r="E11" s="27">
        <v>1.5</v>
      </c>
      <c r="F11" s="29">
        <v>1.0</v>
      </c>
      <c r="G11" s="30" t="s">
        <v>61</v>
      </c>
      <c r="H11" s="29" t="s">
        <v>23</v>
      </c>
      <c r="I11" s="29" t="s">
        <v>23</v>
      </c>
      <c r="J11" s="41">
        <v>46041.0</v>
      </c>
      <c r="K11" s="19" t="b">
        <v>1</v>
      </c>
      <c r="L11" s="19" t="b">
        <v>0</v>
      </c>
      <c r="M11" s="19" t="b">
        <v>1</v>
      </c>
      <c r="N11" s="19" t="b">
        <v>1</v>
      </c>
      <c r="O11" s="19" t="b">
        <v>0</v>
      </c>
      <c r="Q11" s="65" t="s">
        <v>62</v>
      </c>
      <c r="R11" s="66" t="s">
        <v>58</v>
      </c>
      <c r="S11" s="33"/>
      <c r="V11" s="62" t="s">
        <v>63</v>
      </c>
      <c r="W11" s="63"/>
      <c r="X11" s="63"/>
      <c r="Y11" s="63"/>
      <c r="Z11" s="64"/>
    </row>
    <row r="12" ht="30.75" customHeight="1" outlineLevel="1">
      <c r="A12" s="19" t="b">
        <v>0</v>
      </c>
      <c r="B12" s="28" t="s">
        <v>64</v>
      </c>
      <c r="C12" s="28" t="s">
        <v>20</v>
      </c>
      <c r="D12" s="28" t="s">
        <v>21</v>
      </c>
      <c r="E12" s="28">
        <v>0.5</v>
      </c>
      <c r="F12" s="67">
        <v>1.0</v>
      </c>
      <c r="G12" s="57" t="s">
        <v>34</v>
      </c>
      <c r="H12" s="67" t="s">
        <v>23</v>
      </c>
      <c r="I12" s="67" t="s">
        <v>23</v>
      </c>
      <c r="J12" s="68" t="s">
        <v>65</v>
      </c>
      <c r="K12" s="19" t="b">
        <v>1</v>
      </c>
      <c r="L12" s="19" t="b">
        <v>1</v>
      </c>
      <c r="M12" s="19" t="b">
        <v>1</v>
      </c>
      <c r="N12" s="19" t="b">
        <v>1</v>
      </c>
      <c r="O12" s="19" t="b">
        <v>1</v>
      </c>
      <c r="Q12" s="65" t="s">
        <v>66</v>
      </c>
      <c r="R12" s="69" t="s">
        <v>67</v>
      </c>
      <c r="S12" s="39"/>
      <c r="V12" s="62" t="s">
        <v>68</v>
      </c>
      <c r="W12" s="70"/>
      <c r="X12" s="70"/>
      <c r="Y12" s="70"/>
      <c r="Z12" s="71"/>
    </row>
    <row r="13" outlineLevel="1">
      <c r="A13" s="19" t="b">
        <v>0</v>
      </c>
      <c r="B13" s="27" t="s">
        <v>69</v>
      </c>
      <c r="C13" s="28" t="s">
        <v>20</v>
      </c>
      <c r="D13" s="27" t="s">
        <v>21</v>
      </c>
      <c r="E13" s="27">
        <v>1.5</v>
      </c>
      <c r="F13" s="27">
        <v>2.0</v>
      </c>
      <c r="G13" s="34" t="s">
        <v>70</v>
      </c>
      <c r="H13" s="27" t="s">
        <v>23</v>
      </c>
      <c r="I13" s="27" t="s">
        <v>23</v>
      </c>
      <c r="J13" s="41">
        <v>46080.0</v>
      </c>
      <c r="K13" s="19" t="b">
        <v>1</v>
      </c>
      <c r="L13" s="19" t="b">
        <v>1</v>
      </c>
      <c r="M13" s="19" t="b">
        <v>1</v>
      </c>
      <c r="N13" s="19" t="b">
        <v>1</v>
      </c>
      <c r="O13" s="19" t="b">
        <v>1</v>
      </c>
      <c r="Q13" s="65" t="s">
        <v>71</v>
      </c>
      <c r="R13" s="72" t="s">
        <v>58</v>
      </c>
      <c r="S13" s="39"/>
      <c r="V13" s="73"/>
      <c r="W13" s="73"/>
      <c r="X13" s="74"/>
      <c r="Y13" s="74"/>
    </row>
    <row r="14" outlineLevel="1">
      <c r="A14" s="19" t="b">
        <v>1</v>
      </c>
      <c r="B14" s="27" t="s">
        <v>72</v>
      </c>
      <c r="C14" s="28" t="s">
        <v>20</v>
      </c>
      <c r="D14" s="27" t="s">
        <v>21</v>
      </c>
      <c r="E14" s="27">
        <v>3.0</v>
      </c>
      <c r="F14" s="27">
        <v>2.0</v>
      </c>
      <c r="G14" s="34" t="s">
        <v>58</v>
      </c>
      <c r="H14" s="27" t="s">
        <v>23</v>
      </c>
      <c r="I14" s="27" t="s">
        <v>31</v>
      </c>
      <c r="J14" s="68" t="s">
        <v>73</v>
      </c>
      <c r="K14" s="19" t="b">
        <v>1</v>
      </c>
      <c r="L14" s="19" t="b">
        <v>1</v>
      </c>
      <c r="M14" s="19" t="b">
        <v>1</v>
      </c>
      <c r="N14" s="19" t="b">
        <v>1</v>
      </c>
      <c r="O14" s="19" t="b">
        <v>1</v>
      </c>
      <c r="Q14" s="50" t="s">
        <v>74</v>
      </c>
      <c r="R14" s="75" t="s">
        <v>50</v>
      </c>
      <c r="S14" s="39"/>
      <c r="V14" s="73"/>
      <c r="W14" s="73"/>
      <c r="X14" s="74"/>
      <c r="Y14" s="74"/>
    </row>
    <row r="15" outlineLevel="1">
      <c r="A15" s="19" t="b">
        <v>0</v>
      </c>
      <c r="B15" s="27" t="s">
        <v>75</v>
      </c>
      <c r="C15" s="28" t="s">
        <v>20</v>
      </c>
      <c r="D15" s="27" t="s">
        <v>21</v>
      </c>
      <c r="E15" s="27">
        <v>1.0</v>
      </c>
      <c r="F15" s="27">
        <v>1.0</v>
      </c>
      <c r="G15" s="34" t="s">
        <v>22</v>
      </c>
      <c r="H15" s="27" t="s">
        <v>23</v>
      </c>
      <c r="I15" s="27" t="s">
        <v>23</v>
      </c>
      <c r="J15" s="76">
        <v>46041.0</v>
      </c>
      <c r="K15" s="19" t="b">
        <v>1</v>
      </c>
      <c r="L15" s="19" t="b">
        <v>0</v>
      </c>
      <c r="M15" s="19" t="b">
        <v>1</v>
      </c>
      <c r="N15" s="19" t="b">
        <v>1</v>
      </c>
      <c r="O15" s="19" t="b">
        <v>0</v>
      </c>
      <c r="V15" s="73"/>
      <c r="W15" s="73"/>
      <c r="X15" s="74"/>
      <c r="Y15" s="74"/>
    </row>
    <row r="16" ht="30.0" customHeight="1" outlineLevel="1">
      <c r="A16" s="19" t="b">
        <v>0</v>
      </c>
      <c r="B16" s="27" t="s">
        <v>76</v>
      </c>
      <c r="C16" s="28" t="s">
        <v>77</v>
      </c>
      <c r="D16" s="27" t="s">
        <v>21</v>
      </c>
      <c r="E16" s="27">
        <v>3.0</v>
      </c>
      <c r="F16" s="27">
        <v>2.0</v>
      </c>
      <c r="G16" s="34" t="s">
        <v>70</v>
      </c>
      <c r="H16" s="27" t="s">
        <v>23</v>
      </c>
      <c r="I16" s="27" t="s">
        <v>31</v>
      </c>
      <c r="J16" s="68" t="s">
        <v>78</v>
      </c>
      <c r="K16" s="19" t="b">
        <v>1</v>
      </c>
      <c r="L16" s="19" t="b">
        <v>1</v>
      </c>
      <c r="M16" s="19" t="b">
        <v>1</v>
      </c>
      <c r="N16" s="19" t="b">
        <v>1</v>
      </c>
      <c r="O16" s="19" t="b">
        <v>1</v>
      </c>
      <c r="P16" s="49" t="s">
        <v>51</v>
      </c>
      <c r="Q16" s="77" t="s">
        <v>79</v>
      </c>
      <c r="R16" s="78"/>
      <c r="S16" s="79"/>
      <c r="U16" s="80" t="s">
        <v>80</v>
      </c>
      <c r="V16" s="73"/>
      <c r="W16" s="73"/>
      <c r="X16" s="74"/>
      <c r="Y16" s="74"/>
    </row>
    <row r="17" ht="28.5" customHeight="1" outlineLevel="1">
      <c r="A17" s="19" t="b">
        <v>0</v>
      </c>
      <c r="B17" s="27" t="s">
        <v>81</v>
      </c>
      <c r="C17" s="28" t="s">
        <v>82</v>
      </c>
      <c r="D17" s="27" t="s">
        <v>21</v>
      </c>
      <c r="E17" s="27">
        <v>1.5</v>
      </c>
      <c r="F17" s="27">
        <v>1.0</v>
      </c>
      <c r="G17" s="34" t="s">
        <v>22</v>
      </c>
      <c r="H17" s="27" t="s">
        <v>23</v>
      </c>
      <c r="I17" s="27" t="s">
        <v>23</v>
      </c>
      <c r="J17" s="41">
        <v>46013.0</v>
      </c>
      <c r="K17" s="19" t="b">
        <v>1</v>
      </c>
      <c r="L17" s="19" t="b">
        <v>0</v>
      </c>
      <c r="M17" s="19" t="b">
        <v>1</v>
      </c>
      <c r="N17" s="19" t="b">
        <v>1</v>
      </c>
      <c r="O17" s="19" t="b">
        <v>1</v>
      </c>
      <c r="Q17" s="81" t="s">
        <v>83</v>
      </c>
      <c r="R17" s="82" t="s">
        <v>84</v>
      </c>
      <c r="S17" s="83"/>
      <c r="T17" s="84" t="s">
        <v>85</v>
      </c>
      <c r="U17" s="85" t="s">
        <v>86</v>
      </c>
      <c r="V17" s="73"/>
      <c r="W17" s="73"/>
      <c r="X17" s="74"/>
      <c r="Y17" s="74"/>
    </row>
    <row r="18" ht="15.75" hidden="1" customHeight="1" outlineLevel="1">
      <c r="A18" s="19" t="b">
        <v>0</v>
      </c>
      <c r="B18" s="45" t="s">
        <v>87</v>
      </c>
      <c r="C18" s="86" t="s">
        <v>20</v>
      </c>
      <c r="D18" s="86" t="s">
        <v>88</v>
      </c>
      <c r="E18" s="46">
        <v>6.0</v>
      </c>
      <c r="F18" s="45">
        <v>2.0</v>
      </c>
      <c r="G18" s="86" t="s">
        <v>58</v>
      </c>
      <c r="H18" s="45" t="s">
        <v>31</v>
      </c>
      <c r="I18" s="45" t="s">
        <v>31</v>
      </c>
      <c r="J18" s="87" t="s">
        <v>46</v>
      </c>
      <c r="K18" s="19" t="b">
        <v>0</v>
      </c>
      <c r="L18" s="19" t="b">
        <v>0</v>
      </c>
      <c r="M18" s="19" t="b">
        <v>0</v>
      </c>
      <c r="N18" s="19" t="b">
        <v>0</v>
      </c>
      <c r="O18" s="19" t="b">
        <v>0</v>
      </c>
      <c r="P18" s="88" t="s">
        <v>89</v>
      </c>
      <c r="Q18" s="89" t="s">
        <v>90</v>
      </c>
      <c r="R18" s="82" t="s">
        <v>91</v>
      </c>
      <c r="S18" s="83"/>
      <c r="T18" s="84" t="s">
        <v>85</v>
      </c>
      <c r="U18" s="85" t="s">
        <v>86</v>
      </c>
      <c r="V18" s="73"/>
      <c r="W18" s="73"/>
      <c r="X18" s="74"/>
      <c r="Y18" s="74"/>
    </row>
    <row r="19" ht="15.75" customHeight="1" outlineLevel="1">
      <c r="A19" s="19"/>
      <c r="B19" s="27"/>
      <c r="C19" s="28"/>
      <c r="D19" s="27"/>
      <c r="E19" s="27"/>
      <c r="F19" s="27"/>
      <c r="G19" s="34"/>
      <c r="H19" s="27"/>
      <c r="I19" s="27"/>
      <c r="J19" s="90"/>
      <c r="K19" s="19"/>
      <c r="L19" s="19"/>
      <c r="M19" s="19"/>
      <c r="N19" s="19"/>
      <c r="O19" s="19"/>
      <c r="Q19" s="91" t="s">
        <v>92</v>
      </c>
      <c r="R19" s="82" t="s">
        <v>93</v>
      </c>
      <c r="S19" s="83"/>
      <c r="T19" s="84" t="s">
        <v>85</v>
      </c>
      <c r="U19" s="85" t="s">
        <v>94</v>
      </c>
      <c r="V19" s="73"/>
    </row>
    <row r="20" ht="15.75" customHeight="1" outlineLevel="1">
      <c r="A20" s="19" t="b">
        <v>0</v>
      </c>
      <c r="B20" s="27" t="s">
        <v>95</v>
      </c>
      <c r="C20" s="35" t="s">
        <v>20</v>
      </c>
      <c r="D20" s="34" t="s">
        <v>55</v>
      </c>
      <c r="E20" s="27">
        <v>16.0</v>
      </c>
      <c r="F20" s="27">
        <v>3.0</v>
      </c>
      <c r="G20" s="34" t="s">
        <v>45</v>
      </c>
      <c r="H20" s="27" t="s">
        <v>31</v>
      </c>
      <c r="I20" s="27" t="s">
        <v>31</v>
      </c>
      <c r="J20" s="92" t="s">
        <v>96</v>
      </c>
      <c r="K20" s="19" t="b">
        <v>1</v>
      </c>
      <c r="L20" s="19" t="b">
        <v>1</v>
      </c>
      <c r="M20" s="19" t="b">
        <v>1</v>
      </c>
      <c r="N20" s="19" t="b">
        <v>1</v>
      </c>
      <c r="O20" s="19" t="b">
        <v>0</v>
      </c>
      <c r="Q20" s="93" t="s">
        <v>97</v>
      </c>
      <c r="R20" s="94" t="s">
        <v>98</v>
      </c>
      <c r="S20" s="95"/>
      <c r="T20" s="84" t="s">
        <v>85</v>
      </c>
      <c r="U20" s="85" t="s">
        <v>94</v>
      </c>
      <c r="V20" s="73"/>
    </row>
    <row r="21" ht="15.75" customHeight="1" outlineLevel="1">
      <c r="A21" s="19" t="b">
        <v>1</v>
      </c>
      <c r="B21" s="34" t="s">
        <v>99</v>
      </c>
      <c r="C21" s="35" t="s">
        <v>82</v>
      </c>
      <c r="D21" s="34" t="s">
        <v>55</v>
      </c>
      <c r="E21" s="35">
        <v>40.0</v>
      </c>
      <c r="F21" s="34">
        <v>2.0</v>
      </c>
      <c r="G21" s="34" t="s">
        <v>45</v>
      </c>
      <c r="H21" s="34" t="s">
        <v>23</v>
      </c>
      <c r="I21" s="34" t="s">
        <v>23</v>
      </c>
      <c r="J21" s="40" t="s">
        <v>100</v>
      </c>
      <c r="K21" s="19" t="b">
        <v>1</v>
      </c>
      <c r="L21" s="19" t="b">
        <v>1</v>
      </c>
      <c r="M21" s="19" t="b">
        <v>1</v>
      </c>
      <c r="N21" s="19" t="b">
        <v>1</v>
      </c>
      <c r="O21" s="19" t="b">
        <v>1</v>
      </c>
      <c r="Q21" s="85"/>
      <c r="R21" s="85"/>
      <c r="S21" s="85"/>
      <c r="T21" s="96"/>
      <c r="U21" s="85"/>
      <c r="V21" s="85"/>
      <c r="W21" s="97"/>
    </row>
    <row r="22" ht="15.75" customHeight="1" outlineLevel="1">
      <c r="A22" s="19" t="b">
        <v>0</v>
      </c>
      <c r="B22" s="27" t="s">
        <v>101</v>
      </c>
      <c r="C22" s="28" t="s">
        <v>20</v>
      </c>
      <c r="D22" s="28" t="s">
        <v>102</v>
      </c>
      <c r="E22" s="28">
        <v>4.5</v>
      </c>
      <c r="F22" s="27">
        <v>2.0</v>
      </c>
      <c r="G22" s="34" t="s">
        <v>70</v>
      </c>
      <c r="H22" s="27" t="s">
        <v>31</v>
      </c>
      <c r="I22" s="27" t="s">
        <v>23</v>
      </c>
      <c r="J22" s="98">
        <v>46041.0</v>
      </c>
      <c r="K22" s="19" t="b">
        <v>0</v>
      </c>
      <c r="L22" s="19" t="b">
        <v>0</v>
      </c>
      <c r="M22" s="19" t="b">
        <v>0</v>
      </c>
      <c r="N22" s="19" t="b">
        <v>0</v>
      </c>
      <c r="O22" s="19" t="b">
        <v>0</v>
      </c>
      <c r="P22" s="49" t="s">
        <v>103</v>
      </c>
      <c r="Q22" s="85"/>
      <c r="R22" s="85"/>
      <c r="S22" s="85"/>
      <c r="T22" s="96"/>
      <c r="U22" s="85"/>
      <c r="V22" s="85"/>
      <c r="W22" s="97"/>
    </row>
    <row r="23" ht="15.75" customHeight="1" outlineLevel="1">
      <c r="A23" s="19" t="b">
        <v>0</v>
      </c>
      <c r="B23" s="27" t="s">
        <v>104</v>
      </c>
      <c r="C23" s="28" t="s">
        <v>20</v>
      </c>
      <c r="D23" s="27" t="s">
        <v>21</v>
      </c>
      <c r="E23" s="27">
        <v>0.5</v>
      </c>
      <c r="F23" s="27">
        <v>1.0</v>
      </c>
      <c r="G23" s="34" t="s">
        <v>34</v>
      </c>
      <c r="H23" s="27" t="s">
        <v>23</v>
      </c>
      <c r="I23" s="27" t="s">
        <v>23</v>
      </c>
      <c r="J23" s="99" t="s">
        <v>105</v>
      </c>
      <c r="K23" s="19" t="b">
        <v>1</v>
      </c>
      <c r="L23" s="19" t="b">
        <v>0</v>
      </c>
      <c r="M23" s="19" t="b">
        <v>1</v>
      </c>
      <c r="N23" s="19" t="b">
        <v>1</v>
      </c>
      <c r="O23" s="19" t="b">
        <v>0</v>
      </c>
      <c r="Q23" s="85"/>
      <c r="R23" s="85"/>
      <c r="S23" s="85"/>
      <c r="T23" s="96"/>
      <c r="U23" s="85"/>
      <c r="V23" s="85"/>
      <c r="W23" s="97"/>
    </row>
    <row r="24" ht="15.75" customHeight="1" outlineLevel="1">
      <c r="A24" s="19" t="b">
        <v>0</v>
      </c>
      <c r="B24" s="27" t="s">
        <v>106</v>
      </c>
      <c r="C24" s="28" t="s">
        <v>107</v>
      </c>
      <c r="D24" s="27" t="s">
        <v>108</v>
      </c>
      <c r="E24" s="27"/>
      <c r="F24" s="27"/>
      <c r="G24" s="34"/>
      <c r="H24" s="27" t="s">
        <v>31</v>
      </c>
      <c r="I24" s="27" t="s">
        <v>23</v>
      </c>
      <c r="J24" s="100" t="s">
        <v>109</v>
      </c>
      <c r="K24" s="19" t="b">
        <v>0</v>
      </c>
      <c r="L24" s="19" t="b">
        <v>0</v>
      </c>
      <c r="M24" s="19" t="b">
        <v>0</v>
      </c>
      <c r="N24" s="19" t="b">
        <v>0</v>
      </c>
      <c r="O24" s="19" t="b">
        <v>0</v>
      </c>
      <c r="Q24" s="101" t="s">
        <v>110</v>
      </c>
      <c r="R24" s="102"/>
      <c r="S24" s="103" t="str">
        <f>#REF!-AUG!R24</f>
        <v>#REF!</v>
      </c>
      <c r="T24" s="96"/>
      <c r="U24" s="85"/>
      <c r="V24" s="85"/>
      <c r="W24" s="97"/>
    </row>
    <row r="25" ht="15.75" customHeight="1" outlineLevel="1">
      <c r="A25" s="19" t="b">
        <v>1</v>
      </c>
      <c r="B25" s="27" t="s">
        <v>111</v>
      </c>
      <c r="C25" s="35" t="s">
        <v>20</v>
      </c>
      <c r="D25" s="35" t="s">
        <v>112</v>
      </c>
      <c r="E25" s="28">
        <v>7.5</v>
      </c>
      <c r="F25" s="27">
        <v>2.0</v>
      </c>
      <c r="G25" s="34" t="s">
        <v>113</v>
      </c>
      <c r="H25" s="27" t="s">
        <v>31</v>
      </c>
      <c r="I25" s="27" t="s">
        <v>31</v>
      </c>
      <c r="J25" s="104">
        <v>46045.0</v>
      </c>
      <c r="K25" s="19" t="b">
        <v>1</v>
      </c>
      <c r="L25" s="19" t="b">
        <v>1</v>
      </c>
      <c r="M25" s="19" t="b">
        <v>1</v>
      </c>
      <c r="N25" s="19" t="b">
        <v>1</v>
      </c>
      <c r="O25" s="19" t="b">
        <v>1</v>
      </c>
      <c r="Q25" s="85"/>
      <c r="R25" s="85"/>
      <c r="S25" s="85"/>
      <c r="T25" s="96"/>
      <c r="U25" s="85"/>
      <c r="V25" s="85"/>
      <c r="W25" s="97"/>
    </row>
    <row r="26" ht="15.75" customHeight="1" outlineLevel="1">
      <c r="A26" s="19" t="b">
        <v>1</v>
      </c>
      <c r="B26" s="34" t="s">
        <v>114</v>
      </c>
      <c r="C26" s="35" t="s">
        <v>20</v>
      </c>
      <c r="D26" s="34" t="s">
        <v>21</v>
      </c>
      <c r="E26" s="35">
        <v>3.5</v>
      </c>
      <c r="F26" s="34">
        <v>2.0</v>
      </c>
      <c r="G26" s="34" t="s">
        <v>45</v>
      </c>
      <c r="H26" s="34" t="s">
        <v>31</v>
      </c>
      <c r="I26" s="34" t="s">
        <v>31</v>
      </c>
      <c r="J26" s="105" t="s">
        <v>115</v>
      </c>
      <c r="K26" s="19" t="b">
        <v>0</v>
      </c>
      <c r="L26" s="19" t="b">
        <v>0</v>
      </c>
      <c r="M26" s="19" t="b">
        <v>0</v>
      </c>
      <c r="N26" s="19" t="b">
        <v>0</v>
      </c>
      <c r="O26" s="19" t="b">
        <v>0</v>
      </c>
    </row>
    <row r="27" ht="15.75" hidden="1" customHeight="1" outlineLevel="1">
      <c r="A27" s="106" t="b">
        <v>0</v>
      </c>
      <c r="B27" s="46" t="s">
        <v>116</v>
      </c>
      <c r="C27" s="46" t="s">
        <v>20</v>
      </c>
      <c r="D27" s="46" t="s">
        <v>21</v>
      </c>
      <c r="E27" s="46">
        <v>1.0</v>
      </c>
      <c r="F27" s="46">
        <v>1.0</v>
      </c>
      <c r="G27" s="86" t="s">
        <v>22</v>
      </c>
      <c r="H27" s="46" t="s">
        <v>23</v>
      </c>
      <c r="I27" s="46" t="s">
        <v>23</v>
      </c>
      <c r="J27" s="107" t="s">
        <v>117</v>
      </c>
      <c r="K27" s="106" t="b">
        <v>0</v>
      </c>
      <c r="L27" s="106" t="b">
        <v>0</v>
      </c>
      <c r="M27" s="106" t="b">
        <v>0</v>
      </c>
      <c r="N27" s="106" t="b">
        <v>0</v>
      </c>
      <c r="O27" s="106" t="b">
        <v>0</v>
      </c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</row>
    <row r="28" ht="15.75" customHeight="1" outlineLevel="1">
      <c r="A28" s="19" t="b">
        <v>0</v>
      </c>
      <c r="B28" s="27" t="s">
        <v>118</v>
      </c>
      <c r="C28" s="28" t="s">
        <v>26</v>
      </c>
      <c r="D28" s="27" t="s">
        <v>21</v>
      </c>
      <c r="E28" s="27">
        <v>1.5</v>
      </c>
      <c r="F28" s="27">
        <v>1.0</v>
      </c>
      <c r="G28" s="34" t="s">
        <v>22</v>
      </c>
      <c r="H28" s="27" t="s">
        <v>23</v>
      </c>
      <c r="I28" s="27" t="s">
        <v>23</v>
      </c>
      <c r="J28" s="109">
        <v>46034.0</v>
      </c>
      <c r="K28" s="19" t="b">
        <v>1</v>
      </c>
      <c r="L28" s="19" t="b">
        <v>0</v>
      </c>
      <c r="M28" s="19" t="b">
        <v>1</v>
      </c>
      <c r="N28" s="19" t="b">
        <v>1</v>
      </c>
      <c r="O28" s="19" t="b">
        <v>0</v>
      </c>
    </row>
    <row r="29" ht="15.75" customHeight="1" outlineLevel="1">
      <c r="A29" s="19" t="b">
        <v>1</v>
      </c>
      <c r="B29" s="27" t="s">
        <v>119</v>
      </c>
      <c r="C29" s="28" t="s">
        <v>20</v>
      </c>
      <c r="D29" s="27" t="s">
        <v>21</v>
      </c>
      <c r="E29" s="27">
        <v>7.0</v>
      </c>
      <c r="F29" s="27">
        <v>2.0</v>
      </c>
      <c r="G29" s="35" t="s">
        <v>120</v>
      </c>
      <c r="H29" s="27" t="s">
        <v>23</v>
      </c>
      <c r="I29" s="27" t="s">
        <v>23</v>
      </c>
      <c r="J29" s="109">
        <v>46045.0</v>
      </c>
      <c r="K29" s="19" t="b">
        <v>1</v>
      </c>
      <c r="L29" s="19" t="b">
        <v>1</v>
      </c>
      <c r="M29" s="19" t="b">
        <v>1</v>
      </c>
      <c r="N29" s="19" t="b">
        <v>1</v>
      </c>
      <c r="O29" s="19" t="b">
        <v>1</v>
      </c>
    </row>
    <row r="30" ht="15.75" customHeight="1" outlineLevel="1">
      <c r="A30" s="19" t="b">
        <v>0</v>
      </c>
      <c r="B30" s="27" t="s">
        <v>121</v>
      </c>
      <c r="C30" s="28" t="s">
        <v>122</v>
      </c>
      <c r="D30" s="27" t="s">
        <v>123</v>
      </c>
      <c r="E30" s="27">
        <v>2.0</v>
      </c>
      <c r="F30" s="27">
        <v>1.0</v>
      </c>
      <c r="G30" s="34" t="s">
        <v>58</v>
      </c>
      <c r="H30" s="27" t="s">
        <v>23</v>
      </c>
      <c r="I30" s="27" t="s">
        <v>31</v>
      </c>
      <c r="J30" s="110">
        <v>46028.0</v>
      </c>
      <c r="K30" s="19" t="b">
        <v>1</v>
      </c>
      <c r="L30" s="19" t="b">
        <v>0</v>
      </c>
      <c r="M30" s="19" t="b">
        <v>0</v>
      </c>
      <c r="N30" s="19" t="b">
        <v>0</v>
      </c>
      <c r="O30" s="19" t="b">
        <v>0</v>
      </c>
    </row>
    <row r="31" ht="15.75" customHeight="1" outlineLevel="1">
      <c r="A31" s="19" t="b">
        <v>1</v>
      </c>
      <c r="B31" s="27" t="s">
        <v>124</v>
      </c>
      <c r="C31" s="28" t="s">
        <v>20</v>
      </c>
      <c r="D31" s="27" t="s">
        <v>55</v>
      </c>
      <c r="E31" s="28">
        <v>8.0</v>
      </c>
      <c r="F31" s="27">
        <v>2.0</v>
      </c>
      <c r="G31" s="34" t="s">
        <v>125</v>
      </c>
      <c r="H31" s="27" t="s">
        <v>31</v>
      </c>
      <c r="I31" s="27" t="s">
        <v>31</v>
      </c>
      <c r="J31" s="109">
        <v>46048.0</v>
      </c>
      <c r="K31" s="19" t="b">
        <v>1</v>
      </c>
      <c r="L31" s="19" t="b">
        <v>1</v>
      </c>
      <c r="M31" s="19" t="b">
        <v>1</v>
      </c>
      <c r="N31" s="19" t="b">
        <v>1</v>
      </c>
      <c r="O31" s="19" t="b">
        <v>0</v>
      </c>
    </row>
    <row r="32" ht="15.75" customHeight="1" outlineLevel="1">
      <c r="A32" s="19" t="b">
        <v>1</v>
      </c>
      <c r="B32" s="27" t="s">
        <v>126</v>
      </c>
      <c r="C32" s="28" t="s">
        <v>20</v>
      </c>
      <c r="D32" s="27" t="s">
        <v>21</v>
      </c>
      <c r="E32" s="27">
        <v>1.0</v>
      </c>
      <c r="F32" s="27">
        <v>1.0</v>
      </c>
      <c r="G32" s="34" t="s">
        <v>34</v>
      </c>
      <c r="H32" s="27" t="s">
        <v>23</v>
      </c>
      <c r="I32" s="27" t="s">
        <v>23</v>
      </c>
      <c r="J32" s="87" t="s">
        <v>78</v>
      </c>
      <c r="K32" s="19" t="b">
        <v>0</v>
      </c>
      <c r="L32" s="19" t="b">
        <v>0</v>
      </c>
      <c r="M32" s="19" t="b">
        <v>0</v>
      </c>
      <c r="N32" s="19" t="b">
        <v>0</v>
      </c>
      <c r="O32" s="59" t="b">
        <v>0</v>
      </c>
    </row>
    <row r="33" ht="15.75" customHeight="1" outlineLevel="1">
      <c r="A33" s="19" t="b">
        <v>0</v>
      </c>
      <c r="B33" s="27" t="s">
        <v>127</v>
      </c>
      <c r="C33" s="27"/>
      <c r="D33" s="27" t="s">
        <v>21</v>
      </c>
      <c r="E33" s="27">
        <v>1.0</v>
      </c>
      <c r="F33" s="27">
        <v>1.0</v>
      </c>
      <c r="G33" s="34" t="s">
        <v>128</v>
      </c>
      <c r="H33" s="27" t="s">
        <v>23</v>
      </c>
      <c r="I33" s="27" t="s">
        <v>23</v>
      </c>
      <c r="J33" s="111">
        <v>46049.0</v>
      </c>
      <c r="K33" s="19" t="b">
        <v>1</v>
      </c>
      <c r="L33" s="19" t="b">
        <v>0</v>
      </c>
      <c r="M33" s="19" t="b">
        <v>0</v>
      </c>
      <c r="N33" s="19" t="b">
        <v>0</v>
      </c>
      <c r="O33" s="19" t="b">
        <v>0</v>
      </c>
    </row>
    <row r="34" ht="15.75" customHeight="1" outlineLevel="1">
      <c r="A34" s="19" t="b">
        <v>0</v>
      </c>
      <c r="B34" s="28" t="s">
        <v>129</v>
      </c>
      <c r="C34" s="28" t="s">
        <v>130</v>
      </c>
      <c r="D34" s="28" t="s">
        <v>21</v>
      </c>
      <c r="E34" s="28">
        <v>8.0</v>
      </c>
      <c r="F34" s="28">
        <v>2.0</v>
      </c>
      <c r="G34" s="34"/>
      <c r="H34" s="27"/>
      <c r="I34" s="27"/>
      <c r="J34" s="112">
        <v>46057.0</v>
      </c>
      <c r="K34" s="19" t="b">
        <v>1</v>
      </c>
      <c r="L34" s="19" t="b">
        <v>1</v>
      </c>
      <c r="M34" s="19" t="b">
        <v>1</v>
      </c>
      <c r="N34" s="19" t="b">
        <v>1</v>
      </c>
      <c r="O34" s="19" t="b">
        <v>1</v>
      </c>
    </row>
    <row r="35" ht="15.75" customHeight="1" outlineLevel="1">
      <c r="A35" s="19" t="b">
        <v>0</v>
      </c>
      <c r="B35" s="28" t="s">
        <v>131</v>
      </c>
      <c r="C35" s="28" t="s">
        <v>132</v>
      </c>
      <c r="D35" s="28" t="s">
        <v>21</v>
      </c>
      <c r="E35" s="28">
        <v>3.0</v>
      </c>
      <c r="F35" s="28">
        <v>1.0</v>
      </c>
      <c r="G35" s="35" t="s">
        <v>50</v>
      </c>
      <c r="H35" s="28" t="s">
        <v>23</v>
      </c>
      <c r="I35" s="28" t="s">
        <v>23</v>
      </c>
      <c r="J35" s="113">
        <v>46030.0</v>
      </c>
      <c r="K35" s="19" t="b">
        <v>1</v>
      </c>
      <c r="L35" s="19" t="b">
        <v>0</v>
      </c>
      <c r="M35" s="19" t="b">
        <v>1</v>
      </c>
      <c r="N35" s="19" t="b">
        <v>1</v>
      </c>
      <c r="O35" s="19" t="b">
        <v>0</v>
      </c>
    </row>
    <row r="36" ht="15.75" customHeight="1" outlineLevel="1">
      <c r="A36" s="19" t="b">
        <v>0</v>
      </c>
      <c r="B36" s="28" t="s">
        <v>133</v>
      </c>
      <c r="C36" s="28"/>
      <c r="D36" s="28" t="s">
        <v>21</v>
      </c>
      <c r="E36" s="28">
        <v>1.0</v>
      </c>
      <c r="F36" s="28">
        <v>1.0</v>
      </c>
      <c r="G36" s="35" t="s">
        <v>134</v>
      </c>
      <c r="H36" s="28" t="s">
        <v>23</v>
      </c>
      <c r="I36" s="28" t="s">
        <v>23</v>
      </c>
      <c r="J36" s="114"/>
      <c r="K36" s="19" t="b">
        <v>0</v>
      </c>
      <c r="L36" s="19" t="b">
        <v>0</v>
      </c>
      <c r="M36" s="19" t="b">
        <v>0</v>
      </c>
      <c r="N36" s="19" t="b">
        <v>0</v>
      </c>
      <c r="O36" s="19" t="b">
        <v>0</v>
      </c>
      <c r="P36" s="49" t="s">
        <v>135</v>
      </c>
    </row>
    <row r="37" ht="15.75" customHeight="1" outlineLevel="1">
      <c r="A37" s="34"/>
      <c r="B37" s="27"/>
      <c r="C37" s="27"/>
      <c r="D37" s="27"/>
      <c r="E37" s="27"/>
      <c r="F37" s="27"/>
      <c r="G37" s="34"/>
      <c r="H37" s="27"/>
      <c r="I37" s="27"/>
      <c r="J37" s="115"/>
      <c r="K37" s="116"/>
      <c r="L37" s="116"/>
      <c r="M37" s="116"/>
      <c r="N37" s="116"/>
      <c r="O37" s="116"/>
    </row>
    <row r="38" ht="15.75" customHeight="1" outlineLevel="1">
      <c r="A38" s="34"/>
      <c r="B38" s="27"/>
      <c r="C38" s="27"/>
      <c r="D38" s="27"/>
      <c r="E38" s="27">
        <f>SUM(E2:E36)</f>
        <v>163.7</v>
      </c>
      <c r="F38" s="27"/>
      <c r="G38" s="34"/>
      <c r="H38" s="27"/>
      <c r="I38" s="27"/>
      <c r="J38" s="115"/>
      <c r="K38" s="116"/>
      <c r="L38" s="116"/>
      <c r="M38" s="116"/>
      <c r="N38" s="116"/>
      <c r="O38" s="116"/>
    </row>
    <row r="39" ht="15.75" customHeight="1" outlineLevel="1">
      <c r="A39" s="34"/>
      <c r="B39" s="27"/>
      <c r="C39" s="27"/>
      <c r="D39" s="27"/>
      <c r="E39" s="27"/>
      <c r="F39" s="27"/>
      <c r="G39" s="34"/>
      <c r="H39" s="27"/>
      <c r="I39" s="27"/>
      <c r="J39" s="115"/>
      <c r="K39" s="116"/>
      <c r="L39" s="116"/>
      <c r="M39" s="116"/>
      <c r="N39" s="116"/>
      <c r="O39" s="116"/>
    </row>
    <row r="40" ht="15.75" customHeight="1" outlineLevel="1">
      <c r="A40" s="34"/>
      <c r="B40" s="27"/>
      <c r="C40" s="27"/>
      <c r="D40" s="27"/>
      <c r="E40" s="27"/>
      <c r="F40" s="27"/>
      <c r="G40" s="34"/>
      <c r="H40" s="27"/>
      <c r="I40" s="27"/>
      <c r="J40" s="115"/>
      <c r="K40" s="116"/>
      <c r="L40" s="116"/>
      <c r="M40" s="116"/>
      <c r="N40" s="116"/>
      <c r="O40" s="116"/>
    </row>
    <row r="41" ht="15.75" customHeight="1" outlineLevel="1">
      <c r="A41" s="34"/>
      <c r="B41" s="27"/>
      <c r="C41" s="27"/>
      <c r="D41" s="27"/>
      <c r="E41" s="27"/>
      <c r="F41" s="27"/>
      <c r="G41" s="34"/>
      <c r="H41" s="27"/>
      <c r="I41" s="27"/>
      <c r="J41" s="115"/>
      <c r="K41" s="116"/>
      <c r="L41" s="116"/>
      <c r="M41" s="116"/>
      <c r="N41" s="116"/>
      <c r="O41" s="116"/>
    </row>
    <row r="42" ht="15.75" customHeight="1" outlineLevel="1">
      <c r="A42" s="34"/>
      <c r="B42" s="27"/>
      <c r="C42" s="27"/>
      <c r="D42" s="27"/>
      <c r="E42" s="27"/>
      <c r="F42" s="27"/>
      <c r="G42" s="34"/>
      <c r="H42" s="27"/>
      <c r="I42" s="27"/>
      <c r="J42" s="115"/>
      <c r="K42" s="116"/>
      <c r="L42" s="116"/>
      <c r="M42" s="116"/>
      <c r="N42" s="116"/>
      <c r="O42" s="116"/>
    </row>
    <row r="43" ht="15.75" customHeight="1" outlineLevel="1">
      <c r="A43" s="34"/>
      <c r="B43" s="27"/>
      <c r="C43" s="27"/>
      <c r="D43" s="27"/>
      <c r="E43" s="27"/>
      <c r="F43" s="27"/>
      <c r="G43" s="34"/>
      <c r="H43" s="27"/>
      <c r="I43" s="27"/>
      <c r="J43" s="115"/>
      <c r="K43" s="116"/>
      <c r="L43" s="116"/>
      <c r="M43" s="116"/>
      <c r="N43" s="116"/>
      <c r="O43" s="116"/>
    </row>
    <row r="44" ht="15.75" customHeight="1" outlineLevel="1">
      <c r="A44" s="34"/>
      <c r="B44" s="27"/>
      <c r="C44" s="27"/>
      <c r="D44" s="27"/>
      <c r="E44" s="27"/>
      <c r="F44" s="27"/>
      <c r="G44" s="34"/>
      <c r="H44" s="27"/>
      <c r="I44" s="27"/>
      <c r="J44" s="115"/>
      <c r="K44" s="116"/>
      <c r="L44" s="116"/>
      <c r="M44" s="116"/>
      <c r="N44" s="116"/>
      <c r="O44" s="116"/>
    </row>
    <row r="45" ht="15.75" customHeight="1" outlineLevel="1">
      <c r="A45" s="34"/>
      <c r="B45" s="27"/>
      <c r="C45" s="27"/>
      <c r="D45" s="27"/>
      <c r="E45" s="27"/>
      <c r="F45" s="27"/>
      <c r="G45" s="34"/>
      <c r="H45" s="27"/>
      <c r="I45" s="27"/>
      <c r="J45" s="115"/>
      <c r="K45" s="116"/>
      <c r="L45" s="116"/>
      <c r="M45" s="116"/>
      <c r="N45" s="116"/>
      <c r="O45" s="116"/>
    </row>
    <row r="46" ht="15.75" customHeight="1" outlineLevel="1">
      <c r="A46" s="34"/>
      <c r="B46" s="27"/>
      <c r="C46" s="27"/>
      <c r="D46" s="27"/>
      <c r="E46" s="27"/>
      <c r="F46" s="27"/>
      <c r="G46" s="34"/>
      <c r="H46" s="27"/>
      <c r="I46" s="27"/>
      <c r="J46" s="115"/>
      <c r="K46" s="116"/>
      <c r="L46" s="116"/>
      <c r="M46" s="116"/>
      <c r="N46" s="116"/>
      <c r="O46" s="116"/>
    </row>
    <row r="47" ht="15.75" customHeight="1" outlineLevel="1">
      <c r="A47" s="34"/>
      <c r="B47" s="27"/>
      <c r="C47" s="27"/>
      <c r="D47" s="27"/>
      <c r="E47" s="27"/>
      <c r="F47" s="27"/>
      <c r="G47" s="34"/>
      <c r="H47" s="27"/>
      <c r="I47" s="27"/>
      <c r="J47" s="115"/>
      <c r="K47" s="116"/>
      <c r="L47" s="116"/>
      <c r="M47" s="116"/>
      <c r="N47" s="116"/>
      <c r="O47" s="116"/>
    </row>
    <row r="48" ht="15.75" customHeight="1" outlineLevel="1">
      <c r="A48" s="34"/>
      <c r="B48" s="27"/>
      <c r="C48" s="27"/>
      <c r="D48" s="27"/>
      <c r="E48" s="27"/>
      <c r="F48" s="27"/>
      <c r="G48" s="34"/>
      <c r="H48" s="27"/>
      <c r="I48" s="27"/>
      <c r="J48" s="115"/>
      <c r="K48" s="116"/>
      <c r="L48" s="116"/>
      <c r="M48" s="116"/>
      <c r="N48" s="116"/>
      <c r="O48" s="116"/>
    </row>
    <row r="49" ht="15.75" customHeight="1" outlineLevel="1">
      <c r="A49" s="34"/>
      <c r="B49" s="27"/>
      <c r="C49" s="27"/>
      <c r="D49" s="27"/>
      <c r="E49" s="27"/>
      <c r="F49" s="27"/>
      <c r="G49" s="34"/>
      <c r="H49" s="27"/>
      <c r="I49" s="27"/>
      <c r="J49" s="115"/>
      <c r="K49" s="116"/>
      <c r="L49" s="116"/>
      <c r="M49" s="116"/>
      <c r="N49" s="116"/>
      <c r="O49" s="116"/>
    </row>
    <row r="50" ht="15.75" customHeight="1" outlineLevel="1">
      <c r="A50" s="34"/>
      <c r="B50" s="27"/>
      <c r="C50" s="27"/>
      <c r="D50" s="27"/>
      <c r="E50" s="27"/>
      <c r="F50" s="27"/>
      <c r="G50" s="34"/>
      <c r="H50" s="27"/>
      <c r="I50" s="27"/>
      <c r="J50" s="115"/>
      <c r="K50" s="116"/>
      <c r="L50" s="116"/>
      <c r="M50" s="116"/>
      <c r="N50" s="116"/>
      <c r="O50" s="116"/>
    </row>
    <row r="51" ht="15.75" customHeight="1" outlineLevel="1">
      <c r="A51" s="34"/>
      <c r="B51" s="27"/>
      <c r="C51" s="27"/>
      <c r="D51" s="27"/>
      <c r="E51" s="27"/>
      <c r="F51" s="27"/>
      <c r="G51" s="34"/>
      <c r="H51" s="27"/>
      <c r="I51" s="27"/>
      <c r="J51" s="115"/>
      <c r="K51" s="116"/>
      <c r="L51" s="116"/>
      <c r="M51" s="116"/>
      <c r="N51" s="116"/>
      <c r="O51" s="116"/>
    </row>
    <row r="52" ht="15.75" customHeight="1" outlineLevel="1">
      <c r="A52" s="34"/>
      <c r="B52" s="27"/>
      <c r="C52" s="27"/>
      <c r="D52" s="27"/>
      <c r="E52" s="27"/>
      <c r="F52" s="27"/>
      <c r="G52" s="34"/>
      <c r="H52" s="27"/>
      <c r="I52" s="27"/>
      <c r="J52" s="115"/>
      <c r="K52" s="116"/>
      <c r="L52" s="116"/>
      <c r="M52" s="116"/>
      <c r="N52" s="116"/>
      <c r="O52" s="116"/>
    </row>
    <row r="53" ht="15.75" customHeight="1" outlineLevel="1">
      <c r="A53" s="34"/>
      <c r="B53" s="27"/>
      <c r="C53" s="27"/>
      <c r="D53" s="27"/>
      <c r="E53" s="27"/>
      <c r="F53" s="27"/>
      <c r="G53" s="34"/>
      <c r="H53" s="27"/>
      <c r="I53" s="27"/>
      <c r="J53" s="115"/>
      <c r="K53" s="116"/>
      <c r="L53" s="116"/>
      <c r="M53" s="116"/>
      <c r="N53" s="116"/>
      <c r="O53" s="116"/>
    </row>
    <row r="54" ht="15.75" customHeight="1" outlineLevel="1">
      <c r="A54" s="34"/>
      <c r="B54" s="27"/>
      <c r="C54" s="27"/>
      <c r="D54" s="27"/>
      <c r="E54" s="27"/>
      <c r="F54" s="27"/>
      <c r="G54" s="34"/>
      <c r="H54" s="27"/>
      <c r="I54" s="27"/>
      <c r="J54" s="115"/>
      <c r="K54" s="116"/>
      <c r="L54" s="116"/>
      <c r="M54" s="116"/>
      <c r="N54" s="116"/>
      <c r="O54" s="116"/>
    </row>
    <row r="55" ht="15.75" customHeight="1" outlineLevel="1">
      <c r="A55" s="34"/>
      <c r="B55" s="27"/>
      <c r="C55" s="27"/>
      <c r="D55" s="27"/>
      <c r="E55" s="27"/>
      <c r="F55" s="27"/>
      <c r="G55" s="34"/>
      <c r="H55" s="27"/>
      <c r="I55" s="27"/>
      <c r="J55" s="115"/>
      <c r="K55" s="116"/>
      <c r="L55" s="116"/>
      <c r="M55" s="116"/>
      <c r="N55" s="116"/>
      <c r="O55" s="116"/>
    </row>
    <row r="56" ht="15.75" customHeight="1" outlineLevel="1">
      <c r="A56" s="34"/>
      <c r="B56" s="27"/>
      <c r="C56" s="27"/>
      <c r="D56" s="27"/>
      <c r="E56" s="27"/>
      <c r="F56" s="27"/>
      <c r="G56" s="34"/>
      <c r="H56" s="27"/>
      <c r="I56" s="27"/>
      <c r="J56" s="115"/>
      <c r="K56" s="116"/>
      <c r="L56" s="116"/>
      <c r="M56" s="116"/>
      <c r="N56" s="116"/>
      <c r="O56" s="116"/>
    </row>
    <row r="57" ht="15.75" customHeight="1" outlineLevel="1">
      <c r="A57" s="34"/>
      <c r="B57" s="27"/>
      <c r="C57" s="27"/>
      <c r="D57" s="27"/>
      <c r="E57" s="27"/>
      <c r="F57" s="27"/>
      <c r="G57" s="34"/>
      <c r="H57" s="27"/>
      <c r="I57" s="27"/>
      <c r="J57" s="115"/>
      <c r="K57" s="116"/>
      <c r="L57" s="116"/>
      <c r="M57" s="116"/>
      <c r="N57" s="116"/>
      <c r="O57" s="116"/>
    </row>
    <row r="58" ht="15.75" customHeight="1" outlineLevel="1">
      <c r="A58" s="34"/>
      <c r="B58" s="27"/>
      <c r="C58" s="27"/>
      <c r="D58" s="27"/>
      <c r="E58" s="27"/>
      <c r="F58" s="27"/>
      <c r="G58" s="34"/>
      <c r="H58" s="27"/>
      <c r="I58" s="27"/>
      <c r="J58" s="115"/>
      <c r="K58" s="116"/>
      <c r="L58" s="116"/>
      <c r="M58" s="116"/>
      <c r="N58" s="116"/>
      <c r="O58" s="116"/>
    </row>
    <row r="59" ht="15.75" customHeight="1" outlineLevel="1">
      <c r="A59" s="34"/>
      <c r="B59" s="27"/>
      <c r="C59" s="27"/>
      <c r="D59" s="27"/>
      <c r="E59" s="27"/>
      <c r="F59" s="27"/>
      <c r="G59" s="34"/>
      <c r="H59" s="27"/>
      <c r="I59" s="27"/>
      <c r="J59" s="115"/>
      <c r="K59" s="116"/>
      <c r="L59" s="116"/>
      <c r="M59" s="116"/>
      <c r="N59" s="116"/>
      <c r="O59" s="116"/>
    </row>
    <row r="60" ht="15.75" customHeight="1" outlineLevel="1">
      <c r="A60" s="34"/>
      <c r="B60" s="27"/>
      <c r="C60" s="27"/>
      <c r="D60" s="27"/>
      <c r="E60" s="27"/>
      <c r="F60" s="27"/>
      <c r="G60" s="34"/>
      <c r="H60" s="27"/>
      <c r="I60" s="27"/>
      <c r="J60" s="115"/>
      <c r="K60" s="116"/>
      <c r="L60" s="116"/>
      <c r="M60" s="116"/>
      <c r="N60" s="116"/>
      <c r="O60" s="116"/>
    </row>
    <row r="61" ht="15.75" customHeight="1" outlineLevel="1">
      <c r="A61" s="34"/>
      <c r="B61" s="27"/>
      <c r="C61" s="27"/>
      <c r="D61" s="27"/>
      <c r="E61" s="27"/>
      <c r="F61" s="27"/>
      <c r="G61" s="34"/>
      <c r="H61" s="27"/>
      <c r="I61" s="27"/>
      <c r="J61" s="115"/>
      <c r="K61" s="116"/>
      <c r="L61" s="116"/>
      <c r="M61" s="116"/>
      <c r="N61" s="116"/>
      <c r="O61" s="116"/>
    </row>
    <row r="62" ht="15.75" customHeight="1" outlineLevel="1">
      <c r="A62" s="34"/>
      <c r="B62" s="27"/>
      <c r="C62" s="27"/>
      <c r="D62" s="27"/>
      <c r="E62" s="27"/>
      <c r="F62" s="27"/>
      <c r="G62" s="34"/>
      <c r="H62" s="27"/>
      <c r="I62" s="27"/>
      <c r="J62" s="115"/>
      <c r="K62" s="116"/>
      <c r="L62" s="116"/>
      <c r="M62" s="116"/>
      <c r="N62" s="116"/>
      <c r="O62" s="116"/>
    </row>
    <row r="63" ht="15.75" customHeight="1" outlineLevel="1">
      <c r="A63" s="34"/>
      <c r="B63" s="27"/>
      <c r="C63" s="27"/>
      <c r="D63" s="27"/>
      <c r="E63" s="27"/>
      <c r="F63" s="27"/>
      <c r="G63" s="34"/>
      <c r="H63" s="27"/>
      <c r="I63" s="27"/>
      <c r="J63" s="115"/>
      <c r="K63" s="116"/>
      <c r="L63" s="116"/>
      <c r="M63" s="116"/>
      <c r="N63" s="116"/>
      <c r="O63" s="116"/>
    </row>
    <row r="64" ht="15.75" customHeight="1" outlineLevel="1">
      <c r="A64" s="34"/>
      <c r="B64" s="27"/>
      <c r="C64" s="27"/>
      <c r="D64" s="27"/>
      <c r="E64" s="27"/>
      <c r="F64" s="27"/>
      <c r="G64" s="34"/>
      <c r="H64" s="27"/>
      <c r="I64" s="27"/>
      <c r="J64" s="115"/>
      <c r="K64" s="116"/>
      <c r="L64" s="116"/>
      <c r="M64" s="116"/>
      <c r="N64" s="116"/>
      <c r="O64" s="116"/>
    </row>
    <row r="65" ht="15.75" customHeight="1" outlineLevel="1">
      <c r="A65" s="34"/>
      <c r="B65" s="27"/>
      <c r="C65" s="27"/>
      <c r="D65" s="27"/>
      <c r="E65" s="27"/>
      <c r="F65" s="27"/>
      <c r="G65" s="34"/>
      <c r="H65" s="27"/>
      <c r="I65" s="27"/>
      <c r="J65" s="115"/>
      <c r="K65" s="116"/>
      <c r="L65" s="116"/>
      <c r="M65" s="116"/>
      <c r="N65" s="116"/>
      <c r="O65" s="116"/>
    </row>
    <row r="66" ht="15.75" customHeight="1" outlineLevel="1">
      <c r="A66" s="34"/>
      <c r="B66" s="27"/>
      <c r="C66" s="27"/>
      <c r="D66" s="27"/>
      <c r="E66" s="27"/>
      <c r="F66" s="27"/>
      <c r="G66" s="34"/>
      <c r="H66" s="27"/>
      <c r="I66" s="27"/>
      <c r="J66" s="115"/>
      <c r="K66" s="116"/>
      <c r="L66" s="116"/>
      <c r="M66" s="116"/>
      <c r="N66" s="116"/>
      <c r="O66" s="116"/>
    </row>
    <row r="67" ht="15.75" customHeight="1" outlineLevel="1">
      <c r="A67" s="34"/>
      <c r="B67" s="27"/>
      <c r="C67" s="27"/>
      <c r="D67" s="27"/>
      <c r="E67" s="27"/>
      <c r="F67" s="27"/>
      <c r="G67" s="34"/>
      <c r="H67" s="27"/>
      <c r="I67" s="27"/>
      <c r="J67" s="115"/>
      <c r="K67" s="116"/>
      <c r="L67" s="116"/>
      <c r="M67" s="116"/>
      <c r="N67" s="116"/>
      <c r="O67" s="116"/>
    </row>
    <row r="68" ht="15.75" customHeight="1" outlineLevel="1">
      <c r="A68" s="34"/>
      <c r="B68" s="27"/>
      <c r="C68" s="27"/>
      <c r="D68" s="27"/>
      <c r="E68" s="27"/>
      <c r="F68" s="27"/>
      <c r="G68" s="34"/>
      <c r="H68" s="27"/>
      <c r="I68" s="27"/>
      <c r="J68" s="115"/>
      <c r="K68" s="116"/>
      <c r="L68" s="116"/>
      <c r="M68" s="116"/>
      <c r="N68" s="116"/>
      <c r="O68" s="116"/>
    </row>
    <row r="69" ht="15.75" customHeight="1" outlineLevel="1">
      <c r="A69" s="34"/>
      <c r="B69" s="27"/>
      <c r="C69" s="27"/>
      <c r="D69" s="27"/>
      <c r="E69" s="27"/>
      <c r="F69" s="27"/>
      <c r="G69" s="34"/>
      <c r="H69" s="27"/>
      <c r="I69" s="27"/>
      <c r="J69" s="115"/>
      <c r="K69" s="116"/>
      <c r="L69" s="116"/>
      <c r="M69" s="116"/>
      <c r="N69" s="116"/>
      <c r="O69" s="116"/>
    </row>
    <row r="70" ht="15.75" customHeight="1" outlineLevel="1">
      <c r="A70" s="34"/>
      <c r="B70" s="27"/>
      <c r="C70" s="27"/>
      <c r="D70" s="27"/>
      <c r="E70" s="27"/>
      <c r="F70" s="27"/>
      <c r="G70" s="34"/>
      <c r="H70" s="27"/>
      <c r="I70" s="27"/>
      <c r="J70" s="115"/>
      <c r="K70" s="116"/>
      <c r="L70" s="116"/>
      <c r="M70" s="116"/>
      <c r="N70" s="116"/>
      <c r="O70" s="116"/>
    </row>
    <row r="71" ht="15.75" customHeight="1" outlineLevel="1">
      <c r="A71" s="34"/>
      <c r="B71" s="27"/>
      <c r="C71" s="27"/>
      <c r="D71" s="27"/>
      <c r="E71" s="27"/>
      <c r="F71" s="27"/>
      <c r="G71" s="34"/>
      <c r="H71" s="27"/>
      <c r="I71" s="27"/>
      <c r="J71" s="115"/>
      <c r="K71" s="116"/>
      <c r="L71" s="116"/>
      <c r="M71" s="116"/>
      <c r="N71" s="116"/>
      <c r="O71" s="116"/>
    </row>
    <row r="72" ht="15.75" customHeight="1" outlineLevel="1">
      <c r="A72" s="34"/>
      <c r="B72" s="27"/>
      <c r="C72" s="27"/>
      <c r="D72" s="27"/>
      <c r="E72" s="27"/>
      <c r="F72" s="27"/>
      <c r="G72" s="34"/>
      <c r="H72" s="27"/>
      <c r="I72" s="27"/>
      <c r="J72" s="115"/>
      <c r="K72" s="116"/>
      <c r="L72" s="116"/>
      <c r="M72" s="116"/>
      <c r="N72" s="116"/>
      <c r="O72" s="116"/>
    </row>
    <row r="73" ht="15.75" customHeight="1" outlineLevel="1">
      <c r="A73" s="34"/>
      <c r="B73" s="27"/>
      <c r="C73" s="27"/>
      <c r="D73" s="27"/>
      <c r="E73" s="27"/>
      <c r="F73" s="27"/>
      <c r="G73" s="34"/>
      <c r="H73" s="27"/>
      <c r="I73" s="27"/>
      <c r="J73" s="115"/>
      <c r="K73" s="116"/>
      <c r="L73" s="116"/>
      <c r="M73" s="116"/>
      <c r="N73" s="116"/>
      <c r="O73" s="116"/>
    </row>
    <row r="74" ht="15.75" customHeight="1" outlineLevel="1">
      <c r="A74" s="34"/>
      <c r="B74" s="27"/>
      <c r="C74" s="27"/>
      <c r="D74" s="27"/>
      <c r="E74" s="27"/>
      <c r="F74" s="27"/>
      <c r="G74" s="34"/>
      <c r="H74" s="27"/>
      <c r="I74" s="27"/>
      <c r="J74" s="115"/>
      <c r="K74" s="116"/>
      <c r="L74" s="116"/>
      <c r="M74" s="116"/>
      <c r="N74" s="116"/>
      <c r="O74" s="116"/>
    </row>
    <row r="75" ht="15.75" customHeight="1" outlineLevel="1">
      <c r="A75" s="34"/>
      <c r="B75" s="27"/>
      <c r="C75" s="27"/>
      <c r="D75" s="27"/>
      <c r="E75" s="27"/>
      <c r="F75" s="27"/>
      <c r="G75" s="34"/>
      <c r="H75" s="27"/>
      <c r="I75" s="27"/>
      <c r="J75" s="115"/>
      <c r="K75" s="116"/>
      <c r="L75" s="116"/>
      <c r="M75" s="116"/>
      <c r="N75" s="116"/>
      <c r="O75" s="116"/>
    </row>
    <row r="76" ht="15.75" customHeight="1" outlineLevel="1">
      <c r="A76" s="34"/>
      <c r="B76" s="27"/>
      <c r="C76" s="27"/>
      <c r="D76" s="27"/>
      <c r="E76" s="27"/>
      <c r="F76" s="27"/>
      <c r="G76" s="34"/>
      <c r="H76" s="27"/>
      <c r="I76" s="27"/>
      <c r="J76" s="115"/>
      <c r="K76" s="116"/>
      <c r="L76" s="116"/>
      <c r="M76" s="116"/>
      <c r="N76" s="116"/>
      <c r="O76" s="116"/>
    </row>
    <row r="77" ht="15.75" customHeight="1" outlineLevel="1">
      <c r="A77" s="34"/>
      <c r="B77" s="27"/>
      <c r="C77" s="27"/>
      <c r="D77" s="27"/>
      <c r="E77" s="27"/>
      <c r="F77" s="27"/>
      <c r="G77" s="34"/>
      <c r="H77" s="27"/>
      <c r="I77" s="27"/>
      <c r="J77" s="115"/>
      <c r="K77" s="116"/>
      <c r="L77" s="116"/>
      <c r="M77" s="116"/>
      <c r="N77" s="116"/>
      <c r="O77" s="116"/>
    </row>
    <row r="78" ht="15.75" customHeight="1" outlineLevel="1">
      <c r="A78" s="34"/>
      <c r="B78" s="27"/>
      <c r="C78" s="27"/>
      <c r="D78" s="27"/>
      <c r="E78" s="27"/>
      <c r="F78" s="27"/>
      <c r="G78" s="34"/>
      <c r="H78" s="27"/>
      <c r="I78" s="27"/>
      <c r="J78" s="115"/>
      <c r="K78" s="116"/>
      <c r="L78" s="116"/>
      <c r="M78" s="116"/>
      <c r="N78" s="116"/>
      <c r="O78" s="116"/>
    </row>
    <row r="79" ht="15.75" customHeight="1" outlineLevel="1">
      <c r="A79" s="34"/>
      <c r="B79" s="27"/>
      <c r="C79" s="27"/>
      <c r="D79" s="27"/>
      <c r="E79" s="27"/>
      <c r="F79" s="27"/>
      <c r="G79" s="34"/>
      <c r="H79" s="27"/>
      <c r="I79" s="27"/>
      <c r="J79" s="115"/>
      <c r="K79" s="116"/>
      <c r="L79" s="116"/>
      <c r="M79" s="116"/>
      <c r="N79" s="116"/>
      <c r="O79" s="116"/>
    </row>
    <row r="80" ht="15.75" customHeight="1" outlineLevel="1">
      <c r="A80" s="34"/>
      <c r="B80" s="27"/>
      <c r="C80" s="27"/>
      <c r="D80" s="27"/>
      <c r="E80" s="27"/>
      <c r="F80" s="27"/>
      <c r="G80" s="34"/>
      <c r="H80" s="27"/>
      <c r="I80" s="27"/>
      <c r="J80" s="115"/>
      <c r="K80" s="116"/>
      <c r="L80" s="116"/>
      <c r="M80" s="116"/>
      <c r="N80" s="116"/>
      <c r="O80" s="116"/>
    </row>
    <row r="81" ht="15.75" customHeight="1" outlineLevel="1">
      <c r="A81" s="34"/>
      <c r="B81" s="27"/>
      <c r="C81" s="27"/>
      <c r="D81" s="27"/>
      <c r="E81" s="27"/>
      <c r="F81" s="27"/>
      <c r="G81" s="34"/>
      <c r="H81" s="27"/>
      <c r="I81" s="27"/>
      <c r="J81" s="115"/>
      <c r="K81" s="116"/>
      <c r="L81" s="116"/>
      <c r="M81" s="116"/>
      <c r="N81" s="116"/>
      <c r="O81" s="116"/>
    </row>
    <row r="82" ht="15.75" customHeight="1" outlineLevel="1">
      <c r="A82" s="34"/>
      <c r="B82" s="27"/>
      <c r="C82" s="27"/>
      <c r="D82" s="27"/>
      <c r="E82" s="27"/>
      <c r="F82" s="27"/>
      <c r="G82" s="34"/>
      <c r="H82" s="27"/>
      <c r="I82" s="27"/>
      <c r="J82" s="115"/>
      <c r="K82" s="116"/>
      <c r="L82" s="116"/>
      <c r="M82" s="116"/>
      <c r="N82" s="116"/>
      <c r="O82" s="116"/>
    </row>
    <row r="83" ht="15.75" customHeight="1" outlineLevel="1">
      <c r="A83" s="34"/>
      <c r="B83" s="27"/>
      <c r="C83" s="27"/>
      <c r="D83" s="27"/>
      <c r="E83" s="27"/>
      <c r="F83" s="27"/>
      <c r="G83" s="34"/>
      <c r="H83" s="27"/>
      <c r="I83" s="27"/>
      <c r="J83" s="115"/>
      <c r="K83" s="116"/>
      <c r="L83" s="116"/>
      <c r="M83" s="116"/>
      <c r="N83" s="116"/>
      <c r="O83" s="116"/>
    </row>
    <row r="84" ht="15.75" customHeight="1" outlineLevel="1">
      <c r="A84" s="34"/>
      <c r="B84" s="27"/>
      <c r="C84" s="27"/>
      <c r="D84" s="27"/>
      <c r="E84" s="27"/>
      <c r="F84" s="27"/>
      <c r="G84" s="34"/>
      <c r="H84" s="27"/>
      <c r="I84" s="27"/>
      <c r="J84" s="115"/>
      <c r="K84" s="116"/>
      <c r="L84" s="116"/>
      <c r="M84" s="116"/>
      <c r="N84" s="116"/>
      <c r="O84" s="116"/>
    </row>
    <row r="85" ht="15.75" customHeight="1" outlineLevel="1">
      <c r="A85" s="34"/>
      <c r="B85" s="27"/>
      <c r="C85" s="27"/>
      <c r="D85" s="27"/>
      <c r="E85" s="27"/>
      <c r="F85" s="27"/>
      <c r="G85" s="34"/>
      <c r="H85" s="27"/>
      <c r="I85" s="27"/>
      <c r="J85" s="115"/>
      <c r="K85" s="116"/>
      <c r="L85" s="116"/>
      <c r="M85" s="116"/>
      <c r="N85" s="116"/>
      <c r="O85" s="116"/>
    </row>
    <row r="86" ht="15.75" customHeight="1" outlineLevel="1">
      <c r="A86" s="34"/>
      <c r="B86" s="27"/>
      <c r="C86" s="27"/>
      <c r="D86" s="27"/>
      <c r="E86" s="27"/>
      <c r="F86" s="27"/>
      <c r="G86" s="34"/>
      <c r="H86" s="27"/>
      <c r="I86" s="27"/>
      <c r="J86" s="115"/>
      <c r="K86" s="116"/>
      <c r="L86" s="116"/>
      <c r="M86" s="116"/>
      <c r="N86" s="116"/>
      <c r="O86" s="116"/>
    </row>
    <row r="87" ht="15.75" customHeight="1" outlineLevel="1">
      <c r="A87" s="34"/>
      <c r="B87" s="27"/>
      <c r="C87" s="27"/>
      <c r="D87" s="27"/>
      <c r="E87" s="27"/>
      <c r="F87" s="27"/>
      <c r="G87" s="34"/>
      <c r="H87" s="27"/>
      <c r="I87" s="27"/>
      <c r="J87" s="115"/>
      <c r="K87" s="116"/>
      <c r="L87" s="116"/>
      <c r="M87" s="116"/>
      <c r="N87" s="116"/>
      <c r="O87" s="116"/>
    </row>
    <row r="88" ht="15.75" customHeight="1" outlineLevel="1">
      <c r="A88" s="34"/>
      <c r="B88" s="27"/>
      <c r="C88" s="27"/>
      <c r="D88" s="27"/>
      <c r="E88" s="27"/>
      <c r="F88" s="27"/>
      <c r="G88" s="34"/>
      <c r="H88" s="27"/>
      <c r="I88" s="27"/>
      <c r="J88" s="115"/>
      <c r="K88" s="116"/>
      <c r="L88" s="116"/>
      <c r="M88" s="116"/>
      <c r="N88" s="116"/>
      <c r="O88" s="116"/>
    </row>
    <row r="89" ht="15.75" customHeight="1">
      <c r="A89" s="117"/>
      <c r="B89" s="85"/>
      <c r="C89" s="85"/>
      <c r="D89" s="85"/>
      <c r="E89" s="85"/>
      <c r="F89" s="85"/>
      <c r="G89" s="96"/>
      <c r="H89" s="85"/>
      <c r="I89" s="85"/>
      <c r="J89" s="97"/>
    </row>
    <row r="90" ht="15.75" customHeight="1">
      <c r="A90" s="118"/>
      <c r="B90" s="85"/>
    </row>
    <row r="91" ht="15.75" customHeight="1">
      <c r="A91" s="118"/>
      <c r="B91" s="85"/>
    </row>
    <row r="92" ht="15.75" customHeight="1">
      <c r="A92" s="118"/>
      <c r="B92" s="85"/>
    </row>
    <row r="93" ht="15.75" customHeight="1">
      <c r="A93" s="118"/>
      <c r="B93" s="85"/>
    </row>
    <row r="94" ht="15.75" customHeight="1">
      <c r="A94" s="118"/>
      <c r="B94" s="85"/>
    </row>
    <row r="95" ht="15.75" customHeight="1">
      <c r="A95" s="118"/>
      <c r="B95" s="85"/>
    </row>
    <row r="96" ht="15.75" customHeight="1">
      <c r="A96" s="118"/>
      <c r="B96" s="85"/>
      <c r="C96" s="85"/>
      <c r="D96" s="85"/>
      <c r="E96" s="85"/>
      <c r="F96" s="85"/>
      <c r="G96" s="96"/>
      <c r="H96" s="85"/>
      <c r="I96" s="85"/>
      <c r="J96" s="97"/>
    </row>
    <row r="97" ht="15.75" customHeight="1">
      <c r="A97" s="118"/>
      <c r="B97" s="85"/>
      <c r="C97" s="85"/>
      <c r="D97" s="85"/>
      <c r="E97" s="85"/>
      <c r="F97" s="85"/>
      <c r="G97" s="96"/>
      <c r="H97" s="85"/>
      <c r="I97" s="85"/>
      <c r="J97" s="97"/>
    </row>
    <row r="98" ht="15.75" customHeight="1">
      <c r="A98" s="118"/>
      <c r="B98" s="85"/>
      <c r="C98" s="85"/>
      <c r="D98" s="85"/>
      <c r="E98" s="85"/>
      <c r="F98" s="85"/>
      <c r="G98" s="96"/>
      <c r="H98" s="85"/>
      <c r="I98" s="85"/>
      <c r="J98" s="97"/>
    </row>
    <row r="99" ht="15.75" customHeight="1">
      <c r="A99" s="118"/>
      <c r="B99" s="85"/>
      <c r="C99" s="85"/>
      <c r="D99" s="85"/>
      <c r="E99" s="85"/>
      <c r="F99" s="85"/>
      <c r="G99" s="96"/>
      <c r="H99" s="85"/>
      <c r="I99" s="85"/>
      <c r="J99" s="97"/>
    </row>
    <row r="100" ht="15.75" customHeight="1">
      <c r="A100" s="118"/>
      <c r="G100" s="118"/>
      <c r="J100" s="97"/>
    </row>
    <row r="101" ht="15.75" customHeight="1">
      <c r="A101" s="118"/>
      <c r="G101" s="118"/>
      <c r="J101" s="97"/>
    </row>
    <row r="102" ht="15.75" customHeight="1">
      <c r="A102" s="118"/>
      <c r="G102" s="118"/>
      <c r="J102" s="97"/>
    </row>
    <row r="103" ht="15.75" customHeight="1">
      <c r="A103" s="118"/>
      <c r="G103" s="118"/>
      <c r="J103" s="97"/>
    </row>
    <row r="104" ht="15.75" customHeight="1">
      <c r="A104" s="118"/>
      <c r="G104" s="118"/>
      <c r="J104" s="97"/>
    </row>
    <row r="105" ht="15.75" customHeight="1">
      <c r="A105" s="118"/>
      <c r="G105" s="118"/>
      <c r="J105" s="97"/>
    </row>
    <row r="106" ht="15.75" customHeight="1">
      <c r="A106" s="118"/>
      <c r="G106" s="118"/>
      <c r="J106" s="97"/>
    </row>
    <row r="107" ht="15.75" customHeight="1">
      <c r="A107" s="118"/>
      <c r="G107" s="118"/>
      <c r="J107" s="97"/>
    </row>
    <row r="108" ht="15.75" customHeight="1">
      <c r="A108" s="118"/>
      <c r="G108" s="118"/>
      <c r="J108" s="97"/>
    </row>
    <row r="109" ht="15.75" customHeight="1">
      <c r="A109" s="118"/>
      <c r="G109" s="118"/>
      <c r="J109" s="97"/>
    </row>
    <row r="110" ht="15.75" customHeight="1">
      <c r="A110" s="118"/>
      <c r="G110" s="118"/>
      <c r="J110" s="97"/>
    </row>
    <row r="111" ht="15.75" customHeight="1">
      <c r="A111" s="118"/>
      <c r="G111" s="118"/>
      <c r="J111" s="97"/>
    </row>
    <row r="112" ht="15.75" customHeight="1">
      <c r="A112" s="118"/>
      <c r="G112" s="118"/>
      <c r="J112" s="97"/>
    </row>
    <row r="113" ht="15.75" customHeight="1">
      <c r="A113" s="118"/>
      <c r="G113" s="118"/>
      <c r="J113" s="97"/>
    </row>
    <row r="114" ht="15.75" customHeight="1">
      <c r="A114" s="118"/>
      <c r="G114" s="118"/>
      <c r="J114" s="97"/>
    </row>
    <row r="115" ht="15.75" customHeight="1">
      <c r="A115" s="118"/>
      <c r="G115" s="118"/>
      <c r="J115" s="97"/>
    </row>
    <row r="116" ht="15.75" customHeight="1">
      <c r="A116" s="118"/>
      <c r="G116" s="118"/>
      <c r="J116" s="97"/>
    </row>
    <row r="117" ht="15.75" customHeight="1">
      <c r="A117" s="118"/>
      <c r="G117" s="118"/>
      <c r="J117" s="97"/>
    </row>
    <row r="118" ht="15.75" customHeight="1">
      <c r="A118" s="118"/>
      <c r="G118" s="118"/>
      <c r="J118" s="97"/>
    </row>
    <row r="119" ht="15.75" customHeight="1">
      <c r="A119" s="118"/>
      <c r="G119" s="118"/>
      <c r="J119" s="97"/>
    </row>
    <row r="120" ht="15.75" customHeight="1">
      <c r="A120" s="118"/>
      <c r="G120" s="118"/>
      <c r="J120" s="97"/>
    </row>
    <row r="121" ht="15.75" customHeight="1">
      <c r="A121" s="118"/>
      <c r="G121" s="118"/>
      <c r="J121" s="97"/>
    </row>
    <row r="122" ht="15.75" customHeight="1">
      <c r="A122" s="118"/>
      <c r="G122" s="118"/>
      <c r="J122" s="97"/>
    </row>
    <row r="123" ht="15.75" customHeight="1">
      <c r="A123" s="118"/>
      <c r="G123" s="118"/>
      <c r="J123" s="97"/>
    </row>
    <row r="124" ht="15.75" customHeight="1">
      <c r="A124" s="118"/>
      <c r="G124" s="118"/>
      <c r="J124" s="97"/>
    </row>
    <row r="125" ht="15.75" customHeight="1">
      <c r="A125" s="118"/>
      <c r="G125" s="118"/>
      <c r="J125" s="97"/>
    </row>
    <row r="126" ht="15.75" customHeight="1">
      <c r="A126" s="118"/>
      <c r="G126" s="118"/>
      <c r="J126" s="97"/>
    </row>
    <row r="127" ht="15.75" customHeight="1">
      <c r="A127" s="118"/>
      <c r="G127" s="118"/>
      <c r="J127" s="97"/>
    </row>
    <row r="128" ht="15.75" customHeight="1">
      <c r="A128" s="118"/>
      <c r="G128" s="118"/>
      <c r="J128" s="97"/>
    </row>
    <row r="129" ht="15.75" customHeight="1">
      <c r="A129" s="118"/>
      <c r="G129" s="118"/>
      <c r="J129" s="97"/>
    </row>
    <row r="130" ht="15.75" customHeight="1">
      <c r="A130" s="118"/>
      <c r="G130" s="118"/>
      <c r="J130" s="97"/>
    </row>
    <row r="131" ht="15.75" customHeight="1">
      <c r="A131" s="118"/>
      <c r="G131" s="118"/>
      <c r="J131" s="97"/>
    </row>
    <row r="132" ht="15.75" customHeight="1">
      <c r="A132" s="118"/>
      <c r="G132" s="118"/>
      <c r="J132" s="97"/>
    </row>
    <row r="133" ht="15.75" customHeight="1">
      <c r="A133" s="118"/>
      <c r="G133" s="118"/>
      <c r="J133" s="97"/>
    </row>
    <row r="134" ht="15.75" customHeight="1">
      <c r="A134" s="118"/>
      <c r="G134" s="118"/>
      <c r="J134" s="97"/>
    </row>
    <row r="135" ht="15.75" customHeight="1">
      <c r="A135" s="118"/>
      <c r="G135" s="118"/>
      <c r="J135" s="97"/>
    </row>
    <row r="136" ht="15.75" customHeight="1">
      <c r="A136" s="118"/>
      <c r="G136" s="118"/>
      <c r="J136" s="97"/>
    </row>
    <row r="137" ht="15.75" customHeight="1">
      <c r="A137" s="118"/>
      <c r="G137" s="118"/>
      <c r="J137" s="97"/>
    </row>
    <row r="138" ht="15.75" customHeight="1">
      <c r="A138" s="118"/>
      <c r="G138" s="118"/>
      <c r="J138" s="97"/>
    </row>
    <row r="139" ht="15.75" customHeight="1">
      <c r="A139" s="118"/>
      <c r="G139" s="118"/>
      <c r="J139" s="97"/>
    </row>
    <row r="140" ht="15.75" customHeight="1">
      <c r="A140" s="118"/>
      <c r="G140" s="118"/>
      <c r="J140" s="97"/>
    </row>
    <row r="141" ht="15.75" customHeight="1">
      <c r="A141" s="118"/>
      <c r="G141" s="118"/>
      <c r="J141" s="97"/>
    </row>
    <row r="142" ht="15.75" customHeight="1">
      <c r="A142" s="118"/>
      <c r="G142" s="118"/>
      <c r="J142" s="97"/>
    </row>
    <row r="143" ht="15.75" customHeight="1">
      <c r="A143" s="118"/>
      <c r="G143" s="118"/>
      <c r="J143" s="97"/>
    </row>
    <row r="144" ht="15.75" customHeight="1">
      <c r="A144" s="118"/>
      <c r="G144" s="118"/>
      <c r="J144" s="97"/>
    </row>
    <row r="145" ht="15.75" customHeight="1">
      <c r="A145" s="118"/>
      <c r="G145" s="118"/>
      <c r="J145" s="97"/>
    </row>
    <row r="146" ht="15.75" customHeight="1">
      <c r="A146" s="118"/>
      <c r="G146" s="118"/>
      <c r="J146" s="97"/>
    </row>
    <row r="147" ht="15.75" customHeight="1">
      <c r="A147" s="118"/>
      <c r="G147" s="118"/>
      <c r="J147" s="97"/>
    </row>
    <row r="148" ht="15.75" customHeight="1">
      <c r="A148" s="118"/>
      <c r="G148" s="118"/>
      <c r="J148" s="97"/>
    </row>
    <row r="149" ht="15.75" customHeight="1">
      <c r="A149" s="118"/>
      <c r="G149" s="118"/>
      <c r="J149" s="97"/>
    </row>
    <row r="150" ht="15.75" customHeight="1">
      <c r="A150" s="118"/>
      <c r="G150" s="118"/>
      <c r="J150" s="97"/>
    </row>
    <row r="151" ht="15.75" customHeight="1">
      <c r="A151" s="118"/>
      <c r="G151" s="118"/>
      <c r="J151" s="97"/>
    </row>
    <row r="152" ht="15.75" customHeight="1">
      <c r="A152" s="118"/>
      <c r="G152" s="118"/>
      <c r="J152" s="97"/>
    </row>
    <row r="153" ht="15.75" customHeight="1">
      <c r="A153" s="118"/>
      <c r="G153" s="118"/>
      <c r="J153" s="97"/>
    </row>
    <row r="154" ht="15.75" customHeight="1">
      <c r="A154" s="118"/>
      <c r="G154" s="118"/>
      <c r="J154" s="97"/>
    </row>
    <row r="155" ht="15.75" customHeight="1">
      <c r="A155" s="118"/>
      <c r="G155" s="118"/>
      <c r="J155" s="97"/>
    </row>
    <row r="156" ht="15.75" customHeight="1">
      <c r="A156" s="118"/>
      <c r="G156" s="118"/>
      <c r="J156" s="97"/>
    </row>
    <row r="157" ht="15.75" customHeight="1">
      <c r="A157" s="118"/>
      <c r="G157" s="118"/>
      <c r="J157" s="97"/>
    </row>
    <row r="158" ht="15.75" customHeight="1">
      <c r="A158" s="118"/>
      <c r="G158" s="118"/>
      <c r="J158" s="97"/>
    </row>
    <row r="159" ht="15.75" customHeight="1">
      <c r="A159" s="118"/>
      <c r="G159" s="118"/>
      <c r="J159" s="97"/>
    </row>
    <row r="160" ht="15.75" customHeight="1">
      <c r="A160" s="118"/>
      <c r="G160" s="118"/>
      <c r="J160" s="97"/>
    </row>
    <row r="161" ht="15.75" customHeight="1">
      <c r="A161" s="118"/>
      <c r="G161" s="118"/>
      <c r="J161" s="97"/>
    </row>
    <row r="162" ht="15.75" customHeight="1">
      <c r="A162" s="118"/>
      <c r="G162" s="118"/>
      <c r="J162" s="97"/>
    </row>
    <row r="163" ht="15.75" customHeight="1">
      <c r="A163" s="118"/>
      <c r="G163" s="118"/>
      <c r="J163" s="97"/>
    </row>
    <row r="164" ht="15.75" customHeight="1">
      <c r="A164" s="118"/>
      <c r="G164" s="118"/>
      <c r="J164" s="97"/>
    </row>
    <row r="165" ht="15.75" customHeight="1">
      <c r="A165" s="118"/>
      <c r="G165" s="118"/>
      <c r="J165" s="97"/>
    </row>
    <row r="166" ht="15.75" customHeight="1">
      <c r="A166" s="118"/>
      <c r="G166" s="118"/>
      <c r="J166" s="97"/>
    </row>
    <row r="167" ht="15.75" customHeight="1">
      <c r="A167" s="118"/>
      <c r="G167" s="118"/>
      <c r="J167" s="97"/>
    </row>
    <row r="168" ht="15.75" customHeight="1">
      <c r="A168" s="118"/>
      <c r="G168" s="118"/>
      <c r="J168" s="97"/>
    </row>
    <row r="169" ht="15.75" customHeight="1">
      <c r="A169" s="118"/>
      <c r="G169" s="118"/>
      <c r="J169" s="97"/>
    </row>
    <row r="170" ht="15.75" customHeight="1">
      <c r="A170" s="118"/>
      <c r="G170" s="118"/>
      <c r="J170" s="97"/>
    </row>
    <row r="171" ht="15.75" customHeight="1">
      <c r="A171" s="118"/>
      <c r="G171" s="118"/>
      <c r="J171" s="97"/>
    </row>
    <row r="172" ht="15.75" customHeight="1">
      <c r="A172" s="118"/>
      <c r="G172" s="118"/>
      <c r="J172" s="97"/>
    </row>
    <row r="173" ht="15.75" customHeight="1">
      <c r="A173" s="118"/>
      <c r="G173" s="118"/>
      <c r="J173" s="97"/>
    </row>
    <row r="174" ht="15.75" customHeight="1">
      <c r="A174" s="118"/>
      <c r="G174" s="118"/>
      <c r="J174" s="97"/>
    </row>
    <row r="175" ht="15.75" customHeight="1">
      <c r="A175" s="118"/>
      <c r="G175" s="118"/>
      <c r="J175" s="97"/>
    </row>
    <row r="176" ht="15.75" customHeight="1">
      <c r="A176" s="118"/>
      <c r="G176" s="118"/>
      <c r="J176" s="97"/>
    </row>
    <row r="177" ht="15.75" customHeight="1">
      <c r="A177" s="118"/>
      <c r="G177" s="118"/>
      <c r="J177" s="97"/>
    </row>
    <row r="178" ht="15.75" customHeight="1">
      <c r="A178" s="118"/>
      <c r="G178" s="118"/>
      <c r="J178" s="97"/>
    </row>
    <row r="179" ht="15.75" customHeight="1">
      <c r="A179" s="118"/>
      <c r="G179" s="118"/>
      <c r="J179" s="97"/>
    </row>
    <row r="180" ht="15.75" customHeight="1">
      <c r="A180" s="118"/>
      <c r="G180" s="118"/>
      <c r="J180" s="97"/>
    </row>
    <row r="181" ht="15.75" customHeight="1">
      <c r="A181" s="118"/>
      <c r="G181" s="118"/>
      <c r="J181" s="97"/>
    </row>
    <row r="182" ht="15.75" customHeight="1">
      <c r="A182" s="118"/>
      <c r="G182" s="118"/>
      <c r="J182" s="97"/>
    </row>
    <row r="183" ht="15.75" customHeight="1">
      <c r="A183" s="118"/>
      <c r="G183" s="118"/>
      <c r="J183" s="97"/>
    </row>
    <row r="184" ht="15.75" customHeight="1">
      <c r="A184" s="118"/>
      <c r="G184" s="118"/>
      <c r="J184" s="97"/>
    </row>
    <row r="185" ht="15.75" customHeight="1">
      <c r="A185" s="118"/>
      <c r="G185" s="118"/>
      <c r="J185" s="97"/>
    </row>
    <row r="186" ht="15.75" customHeight="1">
      <c r="A186" s="118"/>
      <c r="G186" s="118"/>
      <c r="J186" s="97"/>
    </row>
    <row r="187" ht="15.75" customHeight="1">
      <c r="A187" s="118"/>
      <c r="G187" s="118"/>
      <c r="J187" s="97"/>
    </row>
    <row r="188" ht="15.75" customHeight="1">
      <c r="A188" s="118"/>
      <c r="G188" s="118"/>
      <c r="J188" s="97"/>
    </row>
    <row r="189" ht="15.75" customHeight="1">
      <c r="A189" s="118"/>
      <c r="G189" s="118"/>
      <c r="J189" s="97"/>
    </row>
    <row r="190" ht="15.75" customHeight="1">
      <c r="A190" s="118"/>
      <c r="G190" s="118"/>
      <c r="J190" s="97"/>
    </row>
    <row r="191" ht="15.75" customHeight="1">
      <c r="A191" s="118"/>
      <c r="G191" s="118"/>
      <c r="J191" s="97"/>
    </row>
    <row r="192" ht="15.75" customHeight="1">
      <c r="A192" s="118"/>
      <c r="G192" s="118"/>
      <c r="J192" s="97"/>
    </row>
    <row r="193" ht="15.75" customHeight="1">
      <c r="A193" s="118"/>
      <c r="G193" s="118"/>
      <c r="J193" s="97"/>
    </row>
    <row r="194" ht="15.75" customHeight="1">
      <c r="A194" s="118"/>
      <c r="G194" s="118"/>
      <c r="J194" s="97"/>
    </row>
    <row r="195" ht="15.75" customHeight="1">
      <c r="A195" s="118"/>
      <c r="G195" s="118"/>
      <c r="J195" s="97"/>
    </row>
    <row r="196" ht="15.75" customHeight="1">
      <c r="A196" s="118"/>
      <c r="G196" s="118"/>
      <c r="J196" s="97"/>
    </row>
    <row r="197" ht="15.75" customHeight="1">
      <c r="A197" s="118"/>
      <c r="G197" s="118"/>
      <c r="J197" s="97"/>
    </row>
    <row r="198" ht="15.75" customHeight="1">
      <c r="A198" s="118"/>
      <c r="G198" s="118"/>
      <c r="J198" s="97"/>
    </row>
    <row r="199" ht="15.75" customHeight="1">
      <c r="A199" s="118"/>
      <c r="G199" s="118"/>
      <c r="J199" s="97"/>
    </row>
    <row r="200" ht="15.75" customHeight="1">
      <c r="A200" s="118"/>
      <c r="G200" s="118"/>
      <c r="J200" s="97"/>
    </row>
    <row r="201" ht="15.75" customHeight="1">
      <c r="A201" s="118"/>
      <c r="G201" s="118"/>
      <c r="J201" s="97"/>
    </row>
    <row r="202" ht="15.75" customHeight="1">
      <c r="A202" s="118"/>
      <c r="G202" s="118"/>
      <c r="J202" s="97"/>
    </row>
    <row r="203" ht="15.75" customHeight="1">
      <c r="A203" s="118"/>
      <c r="G203" s="118"/>
      <c r="J203" s="97"/>
    </row>
    <row r="204" ht="15.75" customHeight="1">
      <c r="A204" s="118"/>
      <c r="G204" s="118"/>
      <c r="J204" s="97"/>
    </row>
    <row r="205" ht="15.75" customHeight="1">
      <c r="A205" s="118"/>
      <c r="G205" s="118"/>
      <c r="J205" s="97"/>
    </row>
    <row r="206" ht="15.75" customHeight="1">
      <c r="A206" s="118"/>
      <c r="G206" s="118"/>
      <c r="J206" s="97"/>
    </row>
    <row r="207" ht="15.75" customHeight="1">
      <c r="A207" s="118"/>
      <c r="G207" s="118"/>
      <c r="J207" s="97"/>
    </row>
    <row r="208" ht="15.75" customHeight="1">
      <c r="A208" s="118"/>
      <c r="G208" s="118"/>
      <c r="J208" s="97"/>
    </row>
    <row r="209" ht="15.75" customHeight="1">
      <c r="A209" s="118"/>
      <c r="G209" s="118"/>
      <c r="J209" s="97"/>
    </row>
    <row r="210" ht="15.75" customHeight="1">
      <c r="A210" s="118"/>
      <c r="G210" s="118"/>
      <c r="J210" s="97"/>
    </row>
    <row r="211" ht="15.75" customHeight="1">
      <c r="A211" s="118"/>
      <c r="G211" s="118"/>
      <c r="J211" s="97"/>
    </row>
    <row r="212" ht="15.75" customHeight="1">
      <c r="A212" s="118"/>
      <c r="G212" s="118"/>
      <c r="J212" s="97"/>
    </row>
    <row r="213" ht="15.75" customHeight="1">
      <c r="A213" s="118"/>
      <c r="G213" s="118"/>
      <c r="J213" s="97"/>
    </row>
    <row r="214" ht="15.75" customHeight="1">
      <c r="A214" s="118"/>
      <c r="G214" s="118"/>
      <c r="J214" s="97"/>
    </row>
    <row r="215" ht="15.75" customHeight="1">
      <c r="A215" s="118"/>
      <c r="G215" s="118"/>
      <c r="J215" s="97"/>
    </row>
    <row r="216" ht="15.75" customHeight="1">
      <c r="A216" s="118"/>
      <c r="G216" s="118"/>
      <c r="J216" s="97"/>
    </row>
    <row r="217" ht="15.75" customHeight="1">
      <c r="A217" s="118"/>
      <c r="G217" s="118"/>
      <c r="J217" s="97"/>
    </row>
    <row r="218" ht="15.75" customHeight="1">
      <c r="A218" s="118"/>
      <c r="G218" s="118"/>
      <c r="J218" s="97"/>
    </row>
    <row r="219" ht="15.75" customHeight="1">
      <c r="A219" s="118"/>
      <c r="G219" s="118"/>
      <c r="J219" s="97"/>
    </row>
    <row r="220" ht="15.75" customHeight="1">
      <c r="A220" s="118"/>
      <c r="G220" s="118"/>
      <c r="J220" s="97"/>
    </row>
    <row r="221" ht="15.75" customHeight="1">
      <c r="A221" s="118"/>
      <c r="G221" s="118"/>
      <c r="J221" s="97"/>
    </row>
    <row r="222" ht="15.75" customHeight="1">
      <c r="A222" s="118"/>
      <c r="G222" s="118"/>
      <c r="J222" s="97"/>
    </row>
    <row r="223" ht="15.75" customHeight="1">
      <c r="A223" s="118"/>
      <c r="G223" s="118"/>
      <c r="J223" s="97"/>
    </row>
    <row r="224" ht="15.75" customHeight="1">
      <c r="A224" s="118"/>
      <c r="G224" s="118"/>
      <c r="J224" s="97"/>
    </row>
    <row r="225" ht="15.75" customHeight="1">
      <c r="A225" s="118"/>
      <c r="G225" s="118"/>
      <c r="J225" s="97"/>
    </row>
    <row r="226" ht="15.75" customHeight="1">
      <c r="A226" s="118"/>
      <c r="G226" s="118"/>
      <c r="J226" s="97"/>
    </row>
    <row r="227" ht="15.75" customHeight="1">
      <c r="A227" s="118"/>
      <c r="G227" s="118"/>
      <c r="J227" s="97"/>
    </row>
    <row r="228" ht="15.75" customHeight="1">
      <c r="A228" s="118"/>
      <c r="G228" s="118"/>
      <c r="J228" s="97"/>
    </row>
    <row r="229" ht="15.75" customHeight="1">
      <c r="A229" s="118"/>
      <c r="G229" s="118"/>
      <c r="J229" s="97"/>
    </row>
    <row r="230" ht="15.75" customHeight="1">
      <c r="A230" s="118"/>
      <c r="G230" s="118"/>
      <c r="J230" s="97"/>
    </row>
    <row r="231" ht="15.75" customHeight="1">
      <c r="A231" s="118"/>
      <c r="G231" s="118"/>
      <c r="J231" s="97"/>
    </row>
    <row r="232" ht="15.75" customHeight="1">
      <c r="A232" s="118"/>
      <c r="G232" s="118"/>
      <c r="J232" s="97"/>
    </row>
    <row r="233" ht="15.75" customHeight="1">
      <c r="A233" s="118"/>
      <c r="G233" s="118"/>
      <c r="J233" s="97"/>
    </row>
    <row r="234" ht="15.75" customHeight="1">
      <c r="A234" s="118"/>
      <c r="G234" s="118"/>
      <c r="J234" s="97"/>
    </row>
    <row r="235" ht="15.75" customHeight="1">
      <c r="A235" s="118"/>
      <c r="G235" s="118"/>
      <c r="J235" s="97"/>
    </row>
    <row r="236" ht="15.75" customHeight="1">
      <c r="A236" s="118"/>
      <c r="G236" s="118"/>
      <c r="J236" s="97"/>
    </row>
    <row r="237" ht="15.75" customHeight="1">
      <c r="A237" s="118"/>
      <c r="G237" s="118"/>
      <c r="J237" s="97"/>
    </row>
    <row r="238" ht="15.75" customHeight="1">
      <c r="A238" s="118"/>
      <c r="G238" s="118"/>
      <c r="J238" s="97"/>
    </row>
    <row r="239" ht="15.75" customHeight="1">
      <c r="A239" s="118"/>
      <c r="G239" s="118"/>
      <c r="J239" s="97"/>
    </row>
    <row r="240" ht="15.75" customHeight="1">
      <c r="A240" s="118"/>
      <c r="G240" s="118"/>
      <c r="J240" s="97"/>
    </row>
    <row r="241" ht="15.75" customHeight="1">
      <c r="A241" s="118"/>
      <c r="G241" s="118"/>
      <c r="J241" s="97"/>
    </row>
    <row r="242" ht="15.75" customHeight="1">
      <c r="A242" s="118"/>
      <c r="G242" s="118"/>
      <c r="J242" s="97"/>
    </row>
    <row r="243" ht="15.75" customHeight="1">
      <c r="A243" s="118"/>
      <c r="G243" s="118"/>
      <c r="J243" s="97"/>
    </row>
    <row r="244" ht="15.75" customHeight="1">
      <c r="A244" s="118"/>
      <c r="G244" s="118"/>
      <c r="J244" s="97"/>
    </row>
    <row r="245" ht="15.75" customHeight="1">
      <c r="A245" s="118"/>
      <c r="G245" s="118"/>
      <c r="J245" s="97"/>
    </row>
    <row r="246" ht="15.75" customHeight="1">
      <c r="A246" s="118"/>
      <c r="G246" s="118"/>
      <c r="J246" s="97"/>
    </row>
    <row r="247" ht="15.75" customHeight="1">
      <c r="A247" s="118"/>
      <c r="G247" s="118"/>
      <c r="J247" s="97"/>
    </row>
    <row r="248" ht="15.75" customHeight="1">
      <c r="A248" s="118"/>
      <c r="G248" s="118"/>
      <c r="J248" s="97"/>
    </row>
    <row r="249" ht="15.75" customHeight="1">
      <c r="A249" s="118"/>
      <c r="G249" s="118"/>
      <c r="J249" s="97"/>
    </row>
    <row r="250" ht="15.75" customHeight="1">
      <c r="A250" s="118"/>
      <c r="G250" s="118"/>
      <c r="J250" s="97"/>
    </row>
    <row r="251" ht="15.75" customHeight="1">
      <c r="A251" s="118"/>
      <c r="G251" s="118"/>
      <c r="J251" s="97"/>
    </row>
    <row r="252" ht="15.75" customHeight="1">
      <c r="A252" s="118"/>
      <c r="G252" s="118"/>
      <c r="J252" s="97"/>
    </row>
    <row r="253" ht="15.75" customHeight="1">
      <c r="A253" s="118"/>
      <c r="G253" s="118"/>
      <c r="J253" s="97"/>
    </row>
    <row r="254" ht="15.75" customHeight="1">
      <c r="A254" s="118"/>
      <c r="G254" s="118"/>
      <c r="J254" s="97"/>
    </row>
    <row r="255" ht="15.75" customHeight="1">
      <c r="A255" s="118"/>
      <c r="G255" s="118"/>
      <c r="J255" s="97"/>
    </row>
    <row r="256" ht="15.75" customHeight="1">
      <c r="A256" s="118"/>
      <c r="G256" s="118"/>
      <c r="J256" s="97"/>
    </row>
    <row r="257" ht="15.75" customHeight="1">
      <c r="A257" s="118"/>
      <c r="G257" s="118"/>
      <c r="J257" s="97"/>
    </row>
    <row r="258" ht="15.75" customHeight="1">
      <c r="A258" s="118"/>
      <c r="G258" s="118"/>
      <c r="J258" s="97"/>
    </row>
    <row r="259" ht="15.75" customHeight="1">
      <c r="A259" s="118"/>
      <c r="G259" s="118"/>
      <c r="J259" s="97"/>
    </row>
    <row r="260" ht="15.75" customHeight="1">
      <c r="A260" s="118"/>
      <c r="G260" s="118"/>
      <c r="J260" s="97"/>
    </row>
    <row r="261" ht="15.75" customHeight="1">
      <c r="A261" s="118"/>
      <c r="G261" s="118"/>
      <c r="J261" s="97"/>
    </row>
    <row r="262" ht="15.75" customHeight="1">
      <c r="A262" s="118"/>
      <c r="G262" s="118"/>
      <c r="J262" s="97"/>
    </row>
    <row r="263" ht="15.75" customHeight="1">
      <c r="A263" s="118"/>
      <c r="G263" s="118"/>
      <c r="J263" s="97"/>
    </row>
    <row r="264" ht="15.75" customHeight="1">
      <c r="A264" s="118"/>
      <c r="G264" s="118"/>
      <c r="J264" s="97"/>
    </row>
    <row r="265" ht="15.75" customHeight="1">
      <c r="A265" s="118"/>
      <c r="G265" s="118"/>
      <c r="J265" s="97"/>
    </row>
    <row r="266" ht="15.75" customHeight="1">
      <c r="A266" s="118"/>
      <c r="G266" s="118"/>
      <c r="J266" s="97"/>
    </row>
    <row r="267" ht="15.75" customHeight="1">
      <c r="A267" s="118"/>
      <c r="G267" s="118"/>
      <c r="J267" s="97"/>
    </row>
    <row r="268" ht="15.75" customHeight="1">
      <c r="A268" s="118"/>
      <c r="G268" s="118"/>
      <c r="J268" s="97"/>
    </row>
    <row r="269" ht="15.75" customHeight="1">
      <c r="A269" s="118"/>
      <c r="G269" s="118"/>
      <c r="J269" s="97"/>
    </row>
    <row r="270" ht="15.75" customHeight="1">
      <c r="A270" s="118"/>
      <c r="G270" s="118"/>
      <c r="J270" s="97"/>
    </row>
    <row r="271" ht="15.75" customHeight="1">
      <c r="A271" s="118"/>
      <c r="G271" s="118"/>
      <c r="J271" s="97"/>
    </row>
    <row r="272" ht="15.75" customHeight="1">
      <c r="A272" s="118"/>
      <c r="G272" s="118"/>
      <c r="J272" s="97"/>
    </row>
    <row r="273" ht="15.75" customHeight="1">
      <c r="A273" s="118"/>
      <c r="G273" s="118"/>
      <c r="J273" s="97"/>
    </row>
    <row r="274" ht="15.75" customHeight="1">
      <c r="A274" s="118"/>
      <c r="G274" s="118"/>
      <c r="J274" s="97"/>
    </row>
    <row r="275" ht="15.75" customHeight="1">
      <c r="A275" s="118"/>
      <c r="G275" s="118"/>
      <c r="J275" s="97"/>
    </row>
    <row r="276" ht="15.75" customHeight="1">
      <c r="A276" s="118"/>
      <c r="G276" s="118"/>
      <c r="J276" s="97"/>
    </row>
    <row r="277" ht="15.75" customHeight="1">
      <c r="A277" s="118"/>
      <c r="G277" s="118"/>
      <c r="J277" s="97"/>
    </row>
    <row r="278" ht="15.75" customHeight="1">
      <c r="A278" s="118"/>
      <c r="G278" s="118"/>
      <c r="J278" s="97"/>
    </row>
    <row r="279" ht="15.75" customHeight="1">
      <c r="A279" s="118"/>
      <c r="G279" s="118"/>
      <c r="J279" s="97"/>
    </row>
    <row r="280" ht="15.75" customHeight="1">
      <c r="A280" s="118"/>
      <c r="G280" s="118"/>
      <c r="J280" s="97"/>
    </row>
    <row r="281" ht="15.75" customHeight="1">
      <c r="A281" s="118"/>
      <c r="G281" s="118"/>
      <c r="J281" s="97"/>
    </row>
    <row r="282" ht="15.75" customHeight="1">
      <c r="A282" s="118"/>
      <c r="G282" s="118"/>
      <c r="J282" s="97"/>
    </row>
    <row r="283" ht="15.75" customHeight="1">
      <c r="A283" s="118"/>
      <c r="G283" s="118"/>
      <c r="J283" s="97"/>
    </row>
    <row r="284" ht="15.75" customHeight="1">
      <c r="A284" s="118"/>
      <c r="G284" s="118"/>
      <c r="J284" s="97"/>
    </row>
    <row r="285" ht="15.75" customHeight="1">
      <c r="A285" s="118"/>
      <c r="G285" s="118"/>
      <c r="J285" s="97"/>
    </row>
    <row r="286" ht="15.75" customHeight="1">
      <c r="A286" s="118"/>
      <c r="G286" s="118"/>
      <c r="J286" s="97"/>
    </row>
    <row r="287" ht="15.75" customHeight="1">
      <c r="A287" s="118"/>
      <c r="G287" s="118"/>
      <c r="J287" s="97"/>
    </row>
    <row r="288" ht="15.75" customHeight="1">
      <c r="A288" s="118"/>
      <c r="G288" s="118"/>
      <c r="J288" s="97"/>
    </row>
    <row r="289" ht="15.75" customHeight="1">
      <c r="A289" s="118"/>
      <c r="G289" s="118"/>
      <c r="J289" s="97"/>
    </row>
    <row r="290" ht="15.75" customHeight="1">
      <c r="A290" s="118"/>
      <c r="G290" s="118"/>
      <c r="J290" s="97"/>
    </row>
    <row r="291" ht="15.75" customHeight="1">
      <c r="A291" s="118"/>
      <c r="G291" s="118"/>
      <c r="J291" s="97"/>
    </row>
    <row r="292" ht="15.75" customHeight="1">
      <c r="A292" s="118"/>
      <c r="G292" s="118"/>
      <c r="J292" s="97"/>
    </row>
    <row r="293" ht="15.75" customHeight="1">
      <c r="A293" s="118"/>
      <c r="G293" s="118"/>
      <c r="J293" s="97"/>
    </row>
    <row r="294" ht="15.75" customHeight="1">
      <c r="A294" s="118"/>
      <c r="G294" s="118"/>
      <c r="J294" s="97"/>
    </row>
    <row r="295" ht="15.75" customHeight="1">
      <c r="A295" s="118"/>
      <c r="G295" s="118"/>
      <c r="J295" s="97"/>
    </row>
    <row r="296" ht="15.75" customHeight="1">
      <c r="A296" s="118"/>
      <c r="G296" s="118"/>
      <c r="J296" s="97"/>
    </row>
    <row r="297" ht="15.75" customHeight="1">
      <c r="A297" s="118"/>
      <c r="G297" s="118"/>
      <c r="J297" s="97"/>
    </row>
    <row r="298" ht="15.75" customHeight="1">
      <c r="A298" s="118"/>
      <c r="G298" s="118"/>
      <c r="J298" s="97"/>
    </row>
    <row r="299" ht="15.75" customHeight="1">
      <c r="A299" s="118"/>
      <c r="G299" s="118"/>
      <c r="J299" s="97"/>
    </row>
    <row r="300" ht="15.75" customHeight="1">
      <c r="A300" s="118"/>
      <c r="G300" s="118"/>
      <c r="J300" s="97"/>
    </row>
    <row r="301" ht="15.75" customHeight="1">
      <c r="A301" s="118"/>
      <c r="G301" s="118"/>
      <c r="J301" s="97"/>
    </row>
    <row r="302" ht="15.75" customHeight="1">
      <c r="A302" s="118"/>
      <c r="G302" s="118"/>
      <c r="J302" s="97"/>
    </row>
    <row r="303" ht="15.75" customHeight="1">
      <c r="A303" s="118"/>
      <c r="G303" s="118"/>
      <c r="J303" s="97"/>
    </row>
    <row r="304" ht="15.75" customHeight="1">
      <c r="A304" s="118"/>
      <c r="G304" s="118"/>
      <c r="J304" s="97"/>
    </row>
    <row r="305" ht="15.75" customHeight="1">
      <c r="A305" s="118"/>
      <c r="G305" s="118"/>
      <c r="J305" s="97"/>
    </row>
    <row r="306" ht="15.75" customHeight="1">
      <c r="A306" s="118"/>
      <c r="G306" s="118"/>
      <c r="J306" s="97"/>
    </row>
    <row r="307" ht="15.75" customHeight="1">
      <c r="A307" s="118"/>
      <c r="G307" s="118"/>
      <c r="J307" s="97"/>
    </row>
    <row r="308" ht="15.75" customHeight="1">
      <c r="A308" s="118"/>
      <c r="G308" s="118"/>
      <c r="J308" s="97"/>
    </row>
    <row r="309" ht="15.75" customHeight="1">
      <c r="A309" s="118"/>
      <c r="G309" s="118"/>
      <c r="J309" s="97"/>
    </row>
    <row r="310" ht="15.75" customHeight="1">
      <c r="A310" s="118"/>
      <c r="G310" s="118"/>
      <c r="J310" s="97"/>
    </row>
    <row r="311" ht="15.75" customHeight="1">
      <c r="A311" s="118"/>
      <c r="G311" s="118"/>
      <c r="J311" s="97"/>
    </row>
    <row r="312" ht="15.75" customHeight="1">
      <c r="A312" s="118"/>
      <c r="G312" s="118"/>
      <c r="J312" s="97"/>
    </row>
    <row r="313" ht="15.75" customHeight="1">
      <c r="A313" s="118"/>
      <c r="G313" s="118"/>
      <c r="J313" s="97"/>
    </row>
    <row r="314" ht="15.75" customHeight="1">
      <c r="A314" s="118"/>
      <c r="G314" s="118"/>
      <c r="J314" s="97"/>
    </row>
    <row r="315" ht="15.75" customHeight="1">
      <c r="A315" s="118"/>
      <c r="G315" s="118"/>
      <c r="J315" s="97"/>
    </row>
    <row r="316" ht="15.75" customHeight="1">
      <c r="A316" s="118"/>
      <c r="G316" s="118"/>
      <c r="J316" s="97"/>
    </row>
    <row r="317" ht="15.75" customHeight="1">
      <c r="A317" s="118"/>
      <c r="G317" s="118"/>
      <c r="J317" s="97"/>
    </row>
    <row r="318" ht="15.75" customHeight="1">
      <c r="A318" s="118"/>
      <c r="G318" s="118"/>
      <c r="J318" s="97"/>
    </row>
    <row r="319" ht="15.75" customHeight="1">
      <c r="A319" s="118"/>
      <c r="G319" s="118"/>
      <c r="J319" s="97"/>
    </row>
    <row r="320" ht="15.75" customHeight="1">
      <c r="A320" s="118"/>
      <c r="G320" s="118"/>
      <c r="J320" s="97"/>
    </row>
    <row r="321" ht="15.75" customHeight="1">
      <c r="A321" s="118"/>
      <c r="G321" s="118"/>
      <c r="J321" s="97"/>
    </row>
    <row r="322" ht="15.75" customHeight="1">
      <c r="A322" s="118"/>
      <c r="G322" s="118"/>
      <c r="J322" s="97"/>
    </row>
    <row r="323" ht="15.75" customHeight="1">
      <c r="A323" s="118"/>
      <c r="G323" s="118"/>
      <c r="J323" s="97"/>
    </row>
    <row r="324" ht="15.75" customHeight="1">
      <c r="A324" s="118"/>
      <c r="G324" s="118"/>
      <c r="J324" s="97"/>
    </row>
    <row r="325" ht="15.75" customHeight="1">
      <c r="A325" s="118"/>
      <c r="G325" s="118"/>
      <c r="J325" s="97"/>
    </row>
    <row r="326" ht="15.75" customHeight="1">
      <c r="A326" s="118"/>
      <c r="G326" s="118"/>
      <c r="J326" s="97"/>
    </row>
    <row r="327" ht="15.75" customHeight="1">
      <c r="A327" s="118"/>
      <c r="G327" s="118"/>
      <c r="J327" s="97"/>
    </row>
    <row r="328" ht="15.75" customHeight="1">
      <c r="A328" s="118"/>
      <c r="G328" s="118"/>
      <c r="J328" s="97"/>
    </row>
    <row r="329" ht="15.75" customHeight="1">
      <c r="A329" s="118"/>
      <c r="G329" s="118"/>
      <c r="J329" s="97"/>
    </row>
    <row r="330" ht="15.75" customHeight="1">
      <c r="A330" s="118"/>
      <c r="G330" s="118"/>
      <c r="J330" s="97"/>
    </row>
    <row r="331" ht="15.75" customHeight="1">
      <c r="A331" s="118"/>
      <c r="G331" s="118"/>
      <c r="J331" s="97"/>
    </row>
    <row r="332" ht="15.75" customHeight="1">
      <c r="A332" s="118"/>
      <c r="G332" s="118"/>
      <c r="J332" s="97"/>
    </row>
    <row r="333" ht="15.75" customHeight="1">
      <c r="A333" s="118"/>
      <c r="G333" s="118"/>
      <c r="J333" s="97"/>
    </row>
    <row r="334" ht="15.75" customHeight="1">
      <c r="A334" s="118"/>
      <c r="G334" s="118"/>
      <c r="J334" s="97"/>
    </row>
    <row r="335" ht="15.75" customHeight="1">
      <c r="A335" s="118"/>
      <c r="G335" s="118"/>
      <c r="J335" s="97"/>
    </row>
    <row r="336" ht="15.75" customHeight="1">
      <c r="A336" s="118"/>
      <c r="G336" s="118"/>
      <c r="J336" s="97"/>
    </row>
    <row r="337" ht="15.75" customHeight="1">
      <c r="A337" s="118"/>
      <c r="G337" s="118"/>
      <c r="J337" s="97"/>
    </row>
    <row r="338" ht="15.75" customHeight="1">
      <c r="A338" s="118"/>
      <c r="G338" s="118"/>
      <c r="J338" s="97"/>
    </row>
    <row r="339" ht="15.75" customHeight="1">
      <c r="A339" s="118"/>
      <c r="G339" s="118"/>
      <c r="J339" s="97"/>
    </row>
    <row r="340" ht="15.75" customHeight="1">
      <c r="A340" s="118"/>
      <c r="G340" s="118"/>
      <c r="J340" s="97"/>
    </row>
    <row r="341" ht="15.75" customHeight="1">
      <c r="A341" s="118"/>
      <c r="G341" s="118"/>
      <c r="J341" s="97"/>
    </row>
    <row r="342" ht="15.75" customHeight="1">
      <c r="A342" s="118"/>
      <c r="G342" s="118"/>
      <c r="J342" s="97"/>
    </row>
    <row r="343" ht="15.75" customHeight="1">
      <c r="A343" s="118"/>
      <c r="G343" s="118"/>
      <c r="J343" s="97"/>
    </row>
    <row r="344" ht="15.75" customHeight="1">
      <c r="A344" s="118"/>
      <c r="G344" s="118"/>
      <c r="J344" s="97"/>
    </row>
    <row r="345" ht="15.75" customHeight="1">
      <c r="A345" s="118"/>
      <c r="G345" s="118"/>
      <c r="J345" s="97"/>
    </row>
    <row r="346" ht="15.75" customHeight="1">
      <c r="A346" s="118"/>
      <c r="G346" s="118"/>
      <c r="J346" s="97"/>
    </row>
    <row r="347" ht="15.75" customHeight="1">
      <c r="A347" s="118"/>
      <c r="G347" s="118"/>
      <c r="J347" s="97"/>
    </row>
    <row r="348" ht="15.75" customHeight="1">
      <c r="A348" s="118"/>
      <c r="G348" s="118"/>
      <c r="J348" s="97"/>
    </row>
    <row r="349" ht="15.75" customHeight="1">
      <c r="A349" s="118"/>
      <c r="G349" s="118"/>
      <c r="J349" s="97"/>
    </row>
    <row r="350" ht="15.75" customHeight="1">
      <c r="A350" s="118"/>
      <c r="G350" s="118"/>
      <c r="J350" s="97"/>
    </row>
    <row r="351" ht="15.75" customHeight="1">
      <c r="A351" s="118"/>
      <c r="G351" s="118"/>
      <c r="J351" s="97"/>
    </row>
    <row r="352" ht="15.75" customHeight="1">
      <c r="A352" s="118"/>
      <c r="G352" s="118"/>
      <c r="J352" s="97"/>
    </row>
    <row r="353" ht="15.75" customHeight="1">
      <c r="A353" s="118"/>
      <c r="G353" s="118"/>
      <c r="J353" s="97"/>
    </row>
    <row r="354" ht="15.75" customHeight="1">
      <c r="A354" s="118"/>
      <c r="G354" s="118"/>
      <c r="J354" s="97"/>
    </row>
    <row r="355" ht="15.75" customHeight="1">
      <c r="A355" s="118"/>
      <c r="G355" s="118"/>
      <c r="J355" s="97"/>
    </row>
    <row r="356" ht="15.75" customHeight="1">
      <c r="A356" s="118"/>
      <c r="G356" s="118"/>
      <c r="J356" s="97"/>
    </row>
    <row r="357" ht="15.75" customHeight="1">
      <c r="A357" s="118"/>
      <c r="G357" s="118"/>
      <c r="J357" s="97"/>
    </row>
    <row r="358" ht="15.75" customHeight="1">
      <c r="A358" s="118"/>
      <c r="G358" s="118"/>
      <c r="J358" s="97"/>
    </row>
    <row r="359" ht="15.75" customHeight="1">
      <c r="A359" s="118"/>
      <c r="G359" s="118"/>
      <c r="J359" s="97"/>
    </row>
    <row r="360" ht="15.75" customHeight="1">
      <c r="A360" s="118"/>
      <c r="G360" s="118"/>
      <c r="J360" s="97"/>
    </row>
    <row r="361" ht="15.75" customHeight="1">
      <c r="A361" s="118"/>
      <c r="G361" s="118"/>
      <c r="J361" s="97"/>
    </row>
    <row r="362" ht="15.75" customHeight="1">
      <c r="A362" s="118"/>
      <c r="G362" s="118"/>
      <c r="J362" s="97"/>
    </row>
    <row r="363" ht="15.75" customHeight="1">
      <c r="A363" s="118"/>
      <c r="G363" s="118"/>
      <c r="J363" s="97"/>
    </row>
    <row r="364" ht="15.75" customHeight="1">
      <c r="A364" s="118"/>
      <c r="G364" s="118"/>
      <c r="J364" s="97"/>
    </row>
    <row r="365" ht="15.75" customHeight="1">
      <c r="A365" s="118"/>
      <c r="G365" s="118"/>
      <c r="J365" s="97"/>
    </row>
    <row r="366" ht="15.75" customHeight="1">
      <c r="A366" s="118"/>
      <c r="G366" s="118"/>
      <c r="J366" s="97"/>
    </row>
    <row r="367" ht="15.75" customHeight="1">
      <c r="A367" s="118"/>
      <c r="G367" s="118"/>
      <c r="J367" s="97"/>
    </row>
    <row r="368" ht="15.75" customHeight="1">
      <c r="A368" s="118"/>
      <c r="G368" s="118"/>
      <c r="J368" s="97"/>
    </row>
    <row r="369" ht="15.75" customHeight="1">
      <c r="A369" s="118"/>
      <c r="G369" s="118"/>
      <c r="J369" s="97"/>
    </row>
    <row r="370" ht="15.75" customHeight="1">
      <c r="A370" s="118"/>
      <c r="G370" s="118"/>
      <c r="J370" s="97"/>
    </row>
    <row r="371" ht="15.75" customHeight="1">
      <c r="A371" s="118"/>
      <c r="G371" s="118"/>
      <c r="J371" s="97"/>
    </row>
    <row r="372" ht="15.75" customHeight="1">
      <c r="A372" s="118"/>
      <c r="G372" s="118"/>
      <c r="J372" s="97"/>
    </row>
    <row r="373" ht="15.75" customHeight="1">
      <c r="A373" s="118"/>
      <c r="G373" s="118"/>
      <c r="J373" s="97"/>
    </row>
    <row r="374" ht="15.75" customHeight="1">
      <c r="A374" s="118"/>
      <c r="G374" s="118"/>
      <c r="J374" s="97"/>
    </row>
    <row r="375" ht="15.75" customHeight="1">
      <c r="A375" s="118"/>
      <c r="G375" s="118"/>
      <c r="J375" s="97"/>
    </row>
    <row r="376" ht="15.75" customHeight="1">
      <c r="A376" s="118"/>
      <c r="G376" s="118"/>
      <c r="J376" s="97"/>
    </row>
    <row r="377" ht="15.75" customHeight="1">
      <c r="A377" s="118"/>
      <c r="G377" s="118"/>
      <c r="J377" s="97"/>
    </row>
    <row r="378" ht="15.75" customHeight="1">
      <c r="A378" s="118"/>
      <c r="G378" s="118"/>
      <c r="J378" s="97"/>
    </row>
    <row r="379" ht="15.75" customHeight="1">
      <c r="A379" s="118"/>
      <c r="G379" s="118"/>
      <c r="J379" s="97"/>
    </row>
    <row r="380" ht="15.75" customHeight="1">
      <c r="A380" s="118"/>
      <c r="G380" s="118"/>
      <c r="J380" s="97"/>
    </row>
    <row r="381" ht="15.75" customHeight="1">
      <c r="A381" s="118"/>
      <c r="G381" s="118"/>
      <c r="J381" s="97"/>
    </row>
    <row r="382" ht="15.75" customHeight="1">
      <c r="A382" s="118"/>
      <c r="G382" s="118"/>
      <c r="J382" s="97"/>
    </row>
    <row r="383" ht="15.75" customHeight="1">
      <c r="A383" s="118"/>
      <c r="G383" s="118"/>
      <c r="J383" s="97"/>
    </row>
    <row r="384" ht="15.75" customHeight="1">
      <c r="A384" s="118"/>
      <c r="G384" s="118"/>
      <c r="J384" s="97"/>
    </row>
    <row r="385" ht="15.75" customHeight="1">
      <c r="A385" s="118"/>
      <c r="G385" s="118"/>
      <c r="J385" s="97"/>
    </row>
    <row r="386" ht="15.75" customHeight="1">
      <c r="A386" s="118"/>
      <c r="G386" s="118"/>
      <c r="J386" s="97"/>
    </row>
    <row r="387" ht="15.75" customHeight="1">
      <c r="A387" s="118"/>
      <c r="G387" s="118"/>
      <c r="J387" s="97"/>
    </row>
    <row r="388" ht="15.75" customHeight="1">
      <c r="A388" s="118"/>
      <c r="G388" s="118"/>
      <c r="J388" s="97"/>
    </row>
    <row r="389" ht="15.75" customHeight="1">
      <c r="A389" s="118"/>
      <c r="G389" s="118"/>
      <c r="J389" s="97"/>
    </row>
    <row r="390" ht="15.75" customHeight="1">
      <c r="A390" s="118"/>
      <c r="G390" s="118"/>
      <c r="J390" s="97"/>
    </row>
    <row r="391" ht="15.75" customHeight="1">
      <c r="A391" s="118"/>
      <c r="G391" s="118"/>
      <c r="J391" s="97"/>
    </row>
    <row r="392" ht="15.75" customHeight="1">
      <c r="A392" s="118"/>
      <c r="G392" s="118"/>
      <c r="J392" s="97"/>
    </row>
    <row r="393" ht="15.75" customHeight="1">
      <c r="A393" s="118"/>
      <c r="G393" s="118"/>
      <c r="J393" s="97"/>
    </row>
    <row r="394" ht="15.75" customHeight="1">
      <c r="A394" s="118"/>
      <c r="G394" s="118"/>
      <c r="J394" s="97"/>
    </row>
    <row r="395" ht="15.75" customHeight="1">
      <c r="A395" s="118"/>
      <c r="G395" s="118"/>
      <c r="J395" s="97"/>
    </row>
    <row r="396" ht="15.75" customHeight="1">
      <c r="A396" s="118"/>
      <c r="G396" s="118"/>
      <c r="J396" s="97"/>
    </row>
    <row r="397" ht="15.75" customHeight="1">
      <c r="A397" s="118"/>
      <c r="G397" s="118"/>
      <c r="J397" s="97"/>
    </row>
    <row r="398" ht="15.75" customHeight="1">
      <c r="A398" s="118"/>
      <c r="G398" s="118"/>
      <c r="J398" s="97"/>
    </row>
    <row r="399" ht="15.75" customHeight="1">
      <c r="A399" s="118"/>
      <c r="G399" s="118"/>
      <c r="J399" s="97"/>
    </row>
    <row r="400" ht="15.75" customHeight="1">
      <c r="A400" s="118"/>
      <c r="G400" s="118"/>
      <c r="J400" s="97"/>
    </row>
    <row r="401" ht="15.75" customHeight="1">
      <c r="A401" s="118"/>
      <c r="G401" s="118"/>
      <c r="J401" s="97"/>
    </row>
    <row r="402" ht="15.75" customHeight="1">
      <c r="A402" s="118"/>
      <c r="G402" s="118"/>
      <c r="J402" s="97"/>
    </row>
    <row r="403" ht="15.75" customHeight="1">
      <c r="A403" s="118"/>
      <c r="G403" s="118"/>
      <c r="J403" s="97"/>
    </row>
    <row r="404" ht="15.75" customHeight="1">
      <c r="A404" s="118"/>
      <c r="G404" s="118"/>
      <c r="J404" s="97"/>
    </row>
    <row r="405" ht="15.75" customHeight="1">
      <c r="A405" s="118"/>
      <c r="G405" s="118"/>
      <c r="J405" s="97"/>
    </row>
    <row r="406" ht="15.75" customHeight="1">
      <c r="A406" s="118"/>
      <c r="G406" s="118"/>
      <c r="J406" s="97"/>
    </row>
    <row r="407" ht="15.75" customHeight="1">
      <c r="A407" s="118"/>
      <c r="G407" s="118"/>
      <c r="J407" s="97"/>
    </row>
    <row r="408" ht="15.75" customHeight="1">
      <c r="A408" s="118"/>
      <c r="G408" s="118"/>
      <c r="J408" s="97"/>
    </row>
    <row r="409" ht="15.75" customHeight="1">
      <c r="A409" s="118"/>
      <c r="G409" s="118"/>
      <c r="J409" s="97"/>
    </row>
    <row r="410" ht="15.75" customHeight="1">
      <c r="A410" s="118"/>
      <c r="G410" s="118"/>
      <c r="J410" s="97"/>
    </row>
    <row r="411" ht="15.75" customHeight="1">
      <c r="A411" s="118"/>
      <c r="G411" s="118"/>
      <c r="J411" s="97"/>
    </row>
    <row r="412" ht="15.75" customHeight="1">
      <c r="A412" s="118"/>
      <c r="G412" s="118"/>
      <c r="J412" s="97"/>
    </row>
    <row r="413" ht="15.75" customHeight="1">
      <c r="A413" s="118"/>
      <c r="G413" s="118"/>
      <c r="J413" s="97"/>
    </row>
    <row r="414" ht="15.75" customHeight="1">
      <c r="A414" s="118"/>
      <c r="G414" s="118"/>
      <c r="J414" s="97"/>
    </row>
    <row r="415" ht="15.75" customHeight="1">
      <c r="A415" s="118"/>
      <c r="G415" s="118"/>
      <c r="J415" s="97"/>
    </row>
    <row r="416" ht="15.75" customHeight="1">
      <c r="A416" s="118"/>
      <c r="G416" s="118"/>
      <c r="J416" s="97"/>
    </row>
    <row r="417" ht="15.75" customHeight="1">
      <c r="A417" s="118"/>
      <c r="G417" s="118"/>
      <c r="J417" s="97"/>
    </row>
    <row r="418" ht="15.75" customHeight="1">
      <c r="A418" s="118"/>
      <c r="G418" s="118"/>
      <c r="J418" s="97"/>
    </row>
    <row r="419" ht="15.75" customHeight="1">
      <c r="A419" s="118"/>
      <c r="G419" s="118"/>
      <c r="J419" s="97"/>
    </row>
    <row r="420" ht="15.75" customHeight="1">
      <c r="A420" s="118"/>
      <c r="G420" s="118"/>
      <c r="J420" s="97"/>
    </row>
    <row r="421" ht="15.75" customHeight="1">
      <c r="A421" s="118"/>
      <c r="G421" s="118"/>
      <c r="J421" s="97"/>
    </row>
    <row r="422" ht="15.75" customHeight="1">
      <c r="A422" s="118"/>
      <c r="G422" s="118"/>
      <c r="J422" s="97"/>
    </row>
    <row r="423" ht="15.75" customHeight="1">
      <c r="A423" s="118"/>
      <c r="G423" s="118"/>
      <c r="J423" s="97"/>
    </row>
    <row r="424" ht="15.75" customHeight="1">
      <c r="A424" s="118"/>
      <c r="G424" s="118"/>
      <c r="J424" s="97"/>
    </row>
    <row r="425" ht="15.75" customHeight="1">
      <c r="A425" s="118"/>
      <c r="G425" s="118"/>
      <c r="J425" s="97"/>
    </row>
    <row r="426" ht="15.75" customHeight="1">
      <c r="A426" s="118"/>
      <c r="G426" s="118"/>
      <c r="J426" s="97"/>
    </row>
    <row r="427" ht="15.75" customHeight="1">
      <c r="A427" s="118"/>
      <c r="G427" s="118"/>
      <c r="J427" s="97"/>
    </row>
    <row r="428" ht="15.75" customHeight="1">
      <c r="A428" s="118"/>
      <c r="G428" s="118"/>
      <c r="J428" s="97"/>
    </row>
    <row r="429" ht="15.75" customHeight="1">
      <c r="A429" s="118"/>
      <c r="G429" s="118"/>
      <c r="J429" s="97"/>
    </row>
    <row r="430" ht="15.75" customHeight="1">
      <c r="A430" s="118"/>
      <c r="G430" s="118"/>
      <c r="J430" s="97"/>
    </row>
    <row r="431" ht="15.75" customHeight="1">
      <c r="A431" s="118"/>
      <c r="G431" s="118"/>
      <c r="J431" s="97"/>
    </row>
    <row r="432" ht="15.75" customHeight="1">
      <c r="A432" s="118"/>
      <c r="G432" s="118"/>
      <c r="J432" s="97"/>
    </row>
    <row r="433" ht="15.75" customHeight="1">
      <c r="A433" s="118"/>
      <c r="G433" s="118"/>
      <c r="J433" s="97"/>
    </row>
    <row r="434" ht="15.75" customHeight="1">
      <c r="A434" s="118"/>
      <c r="G434" s="118"/>
      <c r="J434" s="97"/>
    </row>
    <row r="435" ht="15.75" customHeight="1">
      <c r="A435" s="118"/>
      <c r="G435" s="118"/>
      <c r="J435" s="97"/>
    </row>
    <row r="436" ht="15.75" customHeight="1">
      <c r="A436" s="118"/>
      <c r="G436" s="118"/>
      <c r="J436" s="97"/>
    </row>
    <row r="437" ht="15.75" customHeight="1">
      <c r="A437" s="118"/>
      <c r="G437" s="118"/>
      <c r="J437" s="97"/>
    </row>
    <row r="438" ht="15.75" customHeight="1">
      <c r="A438" s="118"/>
      <c r="G438" s="118"/>
      <c r="J438" s="97"/>
    </row>
    <row r="439" ht="15.75" customHeight="1">
      <c r="A439" s="118"/>
      <c r="G439" s="118"/>
      <c r="J439" s="97"/>
    </row>
    <row r="440" ht="15.75" customHeight="1">
      <c r="A440" s="118"/>
      <c r="G440" s="118"/>
      <c r="J440" s="97"/>
    </row>
    <row r="441" ht="15.75" customHeight="1">
      <c r="A441" s="118"/>
      <c r="G441" s="118"/>
      <c r="J441" s="97"/>
    </row>
    <row r="442" ht="15.75" customHeight="1">
      <c r="A442" s="118"/>
      <c r="G442" s="118"/>
      <c r="J442" s="97"/>
    </row>
    <row r="443" ht="15.75" customHeight="1">
      <c r="A443" s="118"/>
      <c r="G443" s="118"/>
      <c r="J443" s="97"/>
    </row>
    <row r="444" ht="15.75" customHeight="1">
      <c r="A444" s="118"/>
      <c r="G444" s="118"/>
      <c r="J444" s="97"/>
    </row>
    <row r="445" ht="15.75" customHeight="1">
      <c r="A445" s="118"/>
      <c r="G445" s="118"/>
      <c r="J445" s="97"/>
    </row>
    <row r="446" ht="15.75" customHeight="1">
      <c r="A446" s="118"/>
      <c r="G446" s="118"/>
      <c r="J446" s="97"/>
    </row>
    <row r="447" ht="15.75" customHeight="1">
      <c r="A447" s="118"/>
      <c r="G447" s="118"/>
      <c r="J447" s="97"/>
    </row>
    <row r="448" ht="15.75" customHeight="1">
      <c r="A448" s="118"/>
      <c r="G448" s="118"/>
      <c r="J448" s="97"/>
    </row>
    <row r="449" ht="15.75" customHeight="1">
      <c r="A449" s="118"/>
      <c r="G449" s="118"/>
      <c r="J449" s="97"/>
    </row>
    <row r="450" ht="15.75" customHeight="1">
      <c r="A450" s="118"/>
      <c r="G450" s="118"/>
      <c r="J450" s="97"/>
    </row>
    <row r="451" ht="15.75" customHeight="1">
      <c r="A451" s="118"/>
      <c r="G451" s="118"/>
      <c r="J451" s="97"/>
    </row>
    <row r="452" ht="15.75" customHeight="1">
      <c r="A452" s="118"/>
      <c r="G452" s="118"/>
      <c r="J452" s="97"/>
    </row>
    <row r="453" ht="15.75" customHeight="1">
      <c r="A453" s="118"/>
      <c r="G453" s="118"/>
      <c r="J453" s="97"/>
    </row>
    <row r="454" ht="15.75" customHeight="1">
      <c r="A454" s="118"/>
      <c r="G454" s="118"/>
      <c r="J454" s="97"/>
    </row>
    <row r="455" ht="15.75" customHeight="1">
      <c r="A455" s="118"/>
      <c r="G455" s="118"/>
      <c r="J455" s="97"/>
    </row>
    <row r="456" ht="15.75" customHeight="1">
      <c r="A456" s="118"/>
      <c r="G456" s="118"/>
      <c r="J456" s="97"/>
    </row>
    <row r="457" ht="15.75" customHeight="1">
      <c r="A457" s="118"/>
      <c r="G457" s="118"/>
      <c r="J457" s="97"/>
    </row>
    <row r="458" ht="15.75" customHeight="1">
      <c r="A458" s="118"/>
      <c r="G458" s="118"/>
      <c r="J458" s="97"/>
    </row>
    <row r="459" ht="15.75" customHeight="1">
      <c r="A459" s="118"/>
      <c r="G459" s="118"/>
      <c r="J459" s="97"/>
    </row>
    <row r="460" ht="15.75" customHeight="1">
      <c r="A460" s="118"/>
      <c r="G460" s="118"/>
      <c r="J460" s="97"/>
    </row>
    <row r="461" ht="15.75" customHeight="1">
      <c r="A461" s="118"/>
      <c r="G461" s="118"/>
      <c r="J461" s="97"/>
    </row>
    <row r="462" ht="15.75" customHeight="1">
      <c r="A462" s="118"/>
      <c r="G462" s="118"/>
      <c r="J462" s="97"/>
    </row>
    <row r="463" ht="15.75" customHeight="1">
      <c r="A463" s="118"/>
      <c r="G463" s="118"/>
      <c r="J463" s="97"/>
    </row>
    <row r="464" ht="15.75" customHeight="1">
      <c r="A464" s="118"/>
      <c r="G464" s="118"/>
      <c r="J464" s="97"/>
    </row>
    <row r="465" ht="15.75" customHeight="1">
      <c r="A465" s="118"/>
      <c r="G465" s="118"/>
      <c r="J465" s="97"/>
    </row>
    <row r="466" ht="15.75" customHeight="1">
      <c r="A466" s="118"/>
      <c r="G466" s="118"/>
      <c r="J466" s="97"/>
    </row>
    <row r="467" ht="15.75" customHeight="1">
      <c r="A467" s="118"/>
      <c r="G467" s="118"/>
      <c r="J467" s="97"/>
    </row>
    <row r="468" ht="15.75" customHeight="1">
      <c r="A468" s="118"/>
      <c r="G468" s="118"/>
      <c r="J468" s="97"/>
    </row>
    <row r="469" ht="15.75" customHeight="1">
      <c r="A469" s="118"/>
      <c r="G469" s="118"/>
      <c r="J469" s="97"/>
    </row>
    <row r="470" ht="15.75" customHeight="1">
      <c r="A470" s="118"/>
      <c r="G470" s="118"/>
      <c r="J470" s="97"/>
    </row>
    <row r="471" ht="15.75" customHeight="1">
      <c r="A471" s="118"/>
      <c r="G471" s="118"/>
      <c r="J471" s="97"/>
    </row>
    <row r="472" ht="15.75" customHeight="1">
      <c r="A472" s="118"/>
      <c r="G472" s="118"/>
      <c r="J472" s="97"/>
    </row>
    <row r="473" ht="15.75" customHeight="1">
      <c r="A473" s="118"/>
      <c r="G473" s="118"/>
      <c r="J473" s="97"/>
    </row>
    <row r="474" ht="15.75" customHeight="1">
      <c r="A474" s="118"/>
      <c r="G474" s="118"/>
      <c r="J474" s="97"/>
    </row>
    <row r="475" ht="15.75" customHeight="1">
      <c r="A475" s="118"/>
      <c r="G475" s="118"/>
      <c r="J475" s="97"/>
    </row>
    <row r="476" ht="15.75" customHeight="1">
      <c r="A476" s="118"/>
      <c r="G476" s="118"/>
      <c r="J476" s="97"/>
    </row>
    <row r="477" ht="15.75" customHeight="1">
      <c r="A477" s="118"/>
      <c r="G477" s="118"/>
      <c r="J477" s="97"/>
    </row>
    <row r="478" ht="15.75" customHeight="1">
      <c r="A478" s="118"/>
      <c r="G478" s="118"/>
      <c r="J478" s="97"/>
    </row>
    <row r="479" ht="15.75" customHeight="1">
      <c r="A479" s="118"/>
      <c r="G479" s="118"/>
      <c r="J479" s="97"/>
    </row>
    <row r="480" ht="15.75" customHeight="1">
      <c r="A480" s="118"/>
      <c r="G480" s="118"/>
      <c r="J480" s="97"/>
    </row>
    <row r="481" ht="15.75" customHeight="1">
      <c r="A481" s="118"/>
      <c r="G481" s="118"/>
      <c r="J481" s="97"/>
    </row>
    <row r="482" ht="15.75" customHeight="1">
      <c r="A482" s="118"/>
      <c r="G482" s="118"/>
      <c r="J482" s="97"/>
    </row>
    <row r="483" ht="15.75" customHeight="1">
      <c r="A483" s="118"/>
      <c r="G483" s="118"/>
      <c r="J483" s="97"/>
    </row>
    <row r="484" ht="15.75" customHeight="1">
      <c r="A484" s="118"/>
      <c r="G484" s="118"/>
      <c r="J484" s="97"/>
    </row>
    <row r="485" ht="15.75" customHeight="1">
      <c r="A485" s="118"/>
      <c r="G485" s="118"/>
      <c r="J485" s="97"/>
    </row>
    <row r="486" ht="15.75" customHeight="1">
      <c r="A486" s="118"/>
      <c r="G486" s="118"/>
      <c r="J486" s="97"/>
    </row>
    <row r="487" ht="15.75" customHeight="1">
      <c r="A487" s="118"/>
      <c r="G487" s="118"/>
      <c r="J487" s="97"/>
    </row>
    <row r="488" ht="15.75" customHeight="1">
      <c r="A488" s="118"/>
      <c r="G488" s="118"/>
      <c r="J488" s="97"/>
    </row>
    <row r="489" ht="15.75" customHeight="1">
      <c r="A489" s="118"/>
      <c r="G489" s="118"/>
      <c r="J489" s="97"/>
    </row>
    <row r="490" ht="15.75" customHeight="1">
      <c r="A490" s="118"/>
      <c r="G490" s="118"/>
      <c r="J490" s="97"/>
    </row>
    <row r="491" ht="15.75" customHeight="1">
      <c r="A491" s="118"/>
      <c r="G491" s="118"/>
      <c r="J491" s="97"/>
    </row>
    <row r="492" ht="15.75" customHeight="1">
      <c r="A492" s="118"/>
      <c r="G492" s="118"/>
      <c r="J492" s="97"/>
    </row>
    <row r="493" ht="15.75" customHeight="1">
      <c r="A493" s="118"/>
      <c r="G493" s="118"/>
      <c r="J493" s="97"/>
    </row>
    <row r="494" ht="15.75" customHeight="1">
      <c r="A494" s="118"/>
      <c r="G494" s="118"/>
      <c r="J494" s="97"/>
    </row>
    <row r="495" ht="15.75" customHeight="1">
      <c r="A495" s="118"/>
      <c r="G495" s="118"/>
      <c r="J495" s="97"/>
    </row>
    <row r="496" ht="15.75" customHeight="1">
      <c r="A496" s="118"/>
      <c r="G496" s="118"/>
      <c r="J496" s="97"/>
    </row>
    <row r="497" ht="15.75" customHeight="1">
      <c r="A497" s="118"/>
      <c r="G497" s="118"/>
      <c r="J497" s="97"/>
    </row>
    <row r="498" ht="15.75" customHeight="1">
      <c r="A498" s="118"/>
      <c r="G498" s="118"/>
      <c r="J498" s="97"/>
    </row>
    <row r="499" ht="15.75" customHeight="1">
      <c r="A499" s="118"/>
      <c r="G499" s="118"/>
      <c r="J499" s="97"/>
    </row>
    <row r="500" ht="15.75" customHeight="1">
      <c r="A500" s="118"/>
      <c r="G500" s="118"/>
      <c r="J500" s="97"/>
    </row>
    <row r="501" ht="15.75" customHeight="1">
      <c r="A501" s="118"/>
      <c r="G501" s="118"/>
      <c r="J501" s="97"/>
    </row>
    <row r="502" ht="15.75" customHeight="1">
      <c r="A502" s="118"/>
      <c r="G502" s="118"/>
      <c r="J502" s="97"/>
    </row>
    <row r="503" ht="15.75" customHeight="1">
      <c r="A503" s="118"/>
      <c r="G503" s="118"/>
      <c r="J503" s="97"/>
    </row>
    <row r="504" ht="15.75" customHeight="1">
      <c r="A504" s="118"/>
      <c r="G504" s="118"/>
      <c r="J504" s="97"/>
    </row>
    <row r="505" ht="15.75" customHeight="1">
      <c r="A505" s="118"/>
      <c r="G505" s="118"/>
      <c r="J505" s="97"/>
    </row>
    <row r="506" ht="15.75" customHeight="1">
      <c r="A506" s="118"/>
      <c r="G506" s="118"/>
      <c r="J506" s="97"/>
    </row>
    <row r="507" ht="15.75" customHeight="1">
      <c r="A507" s="118"/>
      <c r="G507" s="118"/>
      <c r="J507" s="97"/>
    </row>
    <row r="508" ht="15.75" customHeight="1">
      <c r="A508" s="118"/>
      <c r="G508" s="118"/>
      <c r="J508" s="97"/>
    </row>
    <row r="509" ht="15.75" customHeight="1">
      <c r="A509" s="118"/>
      <c r="G509" s="118"/>
      <c r="J509" s="97"/>
    </row>
    <row r="510" ht="15.75" customHeight="1">
      <c r="A510" s="118"/>
      <c r="G510" s="118"/>
      <c r="J510" s="97"/>
    </row>
    <row r="511" ht="15.75" customHeight="1">
      <c r="A511" s="118"/>
      <c r="G511" s="118"/>
      <c r="J511" s="97"/>
    </row>
    <row r="512" ht="15.75" customHeight="1">
      <c r="A512" s="118"/>
      <c r="G512" s="118"/>
      <c r="J512" s="97"/>
    </row>
    <row r="513" ht="15.75" customHeight="1">
      <c r="A513" s="118"/>
      <c r="G513" s="118"/>
      <c r="J513" s="97"/>
    </row>
    <row r="514" ht="15.75" customHeight="1">
      <c r="A514" s="118"/>
      <c r="G514" s="118"/>
      <c r="J514" s="97"/>
    </row>
    <row r="515" ht="15.75" customHeight="1">
      <c r="A515" s="118"/>
      <c r="G515" s="118"/>
      <c r="J515" s="97"/>
    </row>
    <row r="516" ht="15.75" customHeight="1">
      <c r="A516" s="118"/>
      <c r="G516" s="118"/>
      <c r="J516" s="97"/>
    </row>
    <row r="517" ht="15.75" customHeight="1">
      <c r="A517" s="118"/>
      <c r="G517" s="118"/>
      <c r="J517" s="97"/>
    </row>
    <row r="518" ht="15.75" customHeight="1">
      <c r="A518" s="118"/>
      <c r="G518" s="118"/>
      <c r="J518" s="97"/>
    </row>
    <row r="519" ht="15.75" customHeight="1">
      <c r="A519" s="118"/>
      <c r="G519" s="118"/>
      <c r="J519" s="97"/>
    </row>
    <row r="520" ht="15.75" customHeight="1">
      <c r="A520" s="118"/>
      <c r="G520" s="118"/>
      <c r="J520" s="97"/>
    </row>
    <row r="521" ht="15.75" customHeight="1">
      <c r="A521" s="118"/>
      <c r="G521" s="118"/>
      <c r="J521" s="97"/>
    </row>
    <row r="522" ht="15.75" customHeight="1">
      <c r="A522" s="118"/>
      <c r="G522" s="118"/>
      <c r="J522" s="97"/>
    </row>
    <row r="523" ht="15.75" customHeight="1">
      <c r="A523" s="118"/>
      <c r="G523" s="118"/>
      <c r="J523" s="97"/>
    </row>
    <row r="524" ht="15.75" customHeight="1">
      <c r="A524" s="118"/>
      <c r="G524" s="118"/>
      <c r="J524" s="97"/>
    </row>
    <row r="525" ht="15.75" customHeight="1">
      <c r="A525" s="118"/>
      <c r="G525" s="118"/>
      <c r="J525" s="97"/>
    </row>
    <row r="526" ht="15.75" customHeight="1">
      <c r="A526" s="118"/>
      <c r="G526" s="118"/>
      <c r="J526" s="97"/>
    </row>
    <row r="527" ht="15.75" customHeight="1">
      <c r="A527" s="118"/>
      <c r="G527" s="118"/>
      <c r="J527" s="97"/>
    </row>
    <row r="528" ht="15.75" customHeight="1">
      <c r="A528" s="118"/>
      <c r="G528" s="118"/>
      <c r="J528" s="97"/>
    </row>
    <row r="529" ht="15.75" customHeight="1">
      <c r="A529" s="118"/>
      <c r="G529" s="118"/>
      <c r="J529" s="97"/>
    </row>
    <row r="530" ht="15.75" customHeight="1">
      <c r="A530" s="118"/>
      <c r="G530" s="118"/>
      <c r="J530" s="97"/>
    </row>
    <row r="531" ht="15.75" customHeight="1">
      <c r="A531" s="118"/>
      <c r="G531" s="118"/>
      <c r="J531" s="97"/>
    </row>
    <row r="532" ht="15.75" customHeight="1">
      <c r="A532" s="118"/>
      <c r="G532" s="118"/>
      <c r="J532" s="97"/>
    </row>
    <row r="533" ht="15.75" customHeight="1">
      <c r="A533" s="118"/>
      <c r="G533" s="118"/>
      <c r="J533" s="97"/>
    </row>
    <row r="534" ht="15.75" customHeight="1">
      <c r="A534" s="118"/>
      <c r="G534" s="118"/>
      <c r="J534" s="97"/>
    </row>
    <row r="535" ht="15.75" customHeight="1">
      <c r="A535" s="118"/>
      <c r="G535" s="118"/>
      <c r="J535" s="97"/>
    </row>
    <row r="536" ht="15.75" customHeight="1">
      <c r="A536" s="118"/>
      <c r="G536" s="118"/>
      <c r="J536" s="97"/>
    </row>
    <row r="537" ht="15.75" customHeight="1">
      <c r="A537" s="118"/>
      <c r="G537" s="118"/>
      <c r="J537" s="97"/>
    </row>
    <row r="538" ht="15.75" customHeight="1">
      <c r="A538" s="118"/>
      <c r="G538" s="118"/>
      <c r="J538" s="97"/>
    </row>
    <row r="539" ht="15.75" customHeight="1">
      <c r="A539" s="118"/>
      <c r="G539" s="118"/>
      <c r="J539" s="97"/>
    </row>
    <row r="540" ht="15.75" customHeight="1">
      <c r="A540" s="118"/>
      <c r="G540" s="118"/>
      <c r="J540" s="97"/>
    </row>
    <row r="541" ht="15.75" customHeight="1">
      <c r="A541" s="118"/>
      <c r="G541" s="118"/>
      <c r="J541" s="97"/>
    </row>
    <row r="542" ht="15.75" customHeight="1">
      <c r="A542" s="118"/>
      <c r="G542" s="118"/>
      <c r="J542" s="97"/>
    </row>
    <row r="543" ht="15.75" customHeight="1">
      <c r="A543" s="118"/>
      <c r="G543" s="118"/>
      <c r="J543" s="97"/>
    </row>
    <row r="544" ht="15.75" customHeight="1">
      <c r="A544" s="118"/>
      <c r="G544" s="118"/>
      <c r="J544" s="97"/>
    </row>
    <row r="545" ht="15.75" customHeight="1">
      <c r="A545" s="118"/>
      <c r="G545" s="118"/>
      <c r="J545" s="97"/>
    </row>
    <row r="546" ht="15.75" customHeight="1">
      <c r="A546" s="118"/>
      <c r="G546" s="118"/>
      <c r="J546" s="97"/>
    </row>
    <row r="547" ht="15.75" customHeight="1">
      <c r="A547" s="118"/>
      <c r="G547" s="118"/>
      <c r="J547" s="97"/>
    </row>
    <row r="548" ht="15.75" customHeight="1">
      <c r="A548" s="118"/>
      <c r="G548" s="118"/>
      <c r="J548" s="97"/>
    </row>
    <row r="549" ht="15.75" customHeight="1">
      <c r="A549" s="118"/>
      <c r="G549" s="118"/>
      <c r="J549" s="97"/>
    </row>
    <row r="550" ht="15.75" customHeight="1">
      <c r="A550" s="118"/>
      <c r="G550" s="118"/>
      <c r="J550" s="97"/>
    </row>
    <row r="551" ht="15.75" customHeight="1">
      <c r="A551" s="118"/>
      <c r="G551" s="118"/>
      <c r="J551" s="97"/>
    </row>
    <row r="552" ht="15.75" customHeight="1">
      <c r="A552" s="118"/>
      <c r="G552" s="118"/>
      <c r="J552" s="97"/>
    </row>
    <row r="553" ht="15.75" customHeight="1">
      <c r="A553" s="118"/>
      <c r="G553" s="118"/>
      <c r="J553" s="97"/>
    </row>
    <row r="554" ht="15.75" customHeight="1">
      <c r="A554" s="118"/>
      <c r="G554" s="118"/>
      <c r="J554" s="97"/>
    </row>
    <row r="555" ht="15.75" customHeight="1">
      <c r="A555" s="118"/>
      <c r="G555" s="118"/>
      <c r="J555" s="97"/>
    </row>
    <row r="556" ht="15.75" customHeight="1">
      <c r="A556" s="118"/>
      <c r="G556" s="118"/>
      <c r="J556" s="97"/>
    </row>
    <row r="557" ht="15.75" customHeight="1">
      <c r="A557" s="118"/>
      <c r="G557" s="118"/>
      <c r="J557" s="97"/>
    </row>
    <row r="558" ht="15.75" customHeight="1">
      <c r="A558" s="118"/>
      <c r="G558" s="118"/>
      <c r="J558" s="97"/>
    </row>
    <row r="559" ht="15.75" customHeight="1">
      <c r="A559" s="118"/>
      <c r="G559" s="118"/>
      <c r="J559" s="97"/>
    </row>
    <row r="560" ht="15.75" customHeight="1">
      <c r="A560" s="118"/>
      <c r="G560" s="118"/>
      <c r="J560" s="97"/>
    </row>
    <row r="561" ht="15.75" customHeight="1">
      <c r="A561" s="118"/>
      <c r="G561" s="118"/>
      <c r="J561" s="97"/>
    </row>
    <row r="562" ht="15.75" customHeight="1">
      <c r="A562" s="118"/>
      <c r="G562" s="118"/>
      <c r="J562" s="97"/>
    </row>
    <row r="563" ht="15.75" customHeight="1">
      <c r="A563" s="118"/>
      <c r="G563" s="118"/>
      <c r="J563" s="97"/>
    </row>
    <row r="564" ht="15.75" customHeight="1">
      <c r="A564" s="118"/>
      <c r="G564" s="118"/>
      <c r="J564" s="97"/>
    </row>
    <row r="565" ht="15.75" customHeight="1">
      <c r="A565" s="118"/>
      <c r="G565" s="118"/>
      <c r="J565" s="97"/>
    </row>
    <row r="566" ht="15.75" customHeight="1">
      <c r="A566" s="118"/>
      <c r="G566" s="118"/>
      <c r="J566" s="97"/>
    </row>
    <row r="567" ht="15.75" customHeight="1">
      <c r="A567" s="118"/>
      <c r="G567" s="118"/>
      <c r="J567" s="97"/>
    </row>
    <row r="568" ht="15.75" customHeight="1">
      <c r="A568" s="118"/>
      <c r="G568" s="118"/>
      <c r="J568" s="97"/>
    </row>
    <row r="569" ht="15.75" customHeight="1">
      <c r="A569" s="118"/>
      <c r="G569" s="118"/>
      <c r="J569" s="97"/>
    </row>
    <row r="570" ht="15.75" customHeight="1">
      <c r="A570" s="118"/>
      <c r="G570" s="118"/>
      <c r="J570" s="97"/>
    </row>
    <row r="571" ht="15.75" customHeight="1">
      <c r="A571" s="118"/>
      <c r="G571" s="118"/>
      <c r="J571" s="97"/>
    </row>
    <row r="572" ht="15.75" customHeight="1">
      <c r="A572" s="118"/>
      <c r="G572" s="118"/>
      <c r="J572" s="97"/>
    </row>
    <row r="573" ht="15.75" customHeight="1">
      <c r="A573" s="118"/>
      <c r="G573" s="118"/>
      <c r="J573" s="97"/>
    </row>
    <row r="574" ht="15.75" customHeight="1">
      <c r="A574" s="118"/>
      <c r="G574" s="118"/>
      <c r="J574" s="97"/>
    </row>
    <row r="575" ht="15.75" customHeight="1">
      <c r="A575" s="118"/>
      <c r="G575" s="118"/>
      <c r="J575" s="97"/>
    </row>
    <row r="576" ht="15.75" customHeight="1">
      <c r="A576" s="118"/>
      <c r="G576" s="118"/>
      <c r="J576" s="97"/>
    </row>
    <row r="577" ht="15.75" customHeight="1">
      <c r="A577" s="118"/>
      <c r="G577" s="118"/>
      <c r="J577" s="97"/>
    </row>
    <row r="578" ht="15.75" customHeight="1">
      <c r="A578" s="118"/>
      <c r="G578" s="118"/>
      <c r="J578" s="97"/>
    </row>
    <row r="579" ht="15.75" customHeight="1">
      <c r="A579" s="118"/>
      <c r="G579" s="118"/>
      <c r="J579" s="97"/>
    </row>
    <row r="580" ht="15.75" customHeight="1">
      <c r="A580" s="118"/>
      <c r="G580" s="118"/>
      <c r="J580" s="97"/>
    </row>
    <row r="581" ht="15.75" customHeight="1">
      <c r="A581" s="118"/>
      <c r="G581" s="118"/>
      <c r="J581" s="97"/>
    </row>
    <row r="582" ht="15.75" customHeight="1">
      <c r="A582" s="118"/>
      <c r="G582" s="118"/>
      <c r="J582" s="97"/>
    </row>
    <row r="583" ht="15.75" customHeight="1">
      <c r="A583" s="118"/>
      <c r="G583" s="118"/>
      <c r="J583" s="97"/>
    </row>
    <row r="584" ht="15.75" customHeight="1">
      <c r="A584" s="118"/>
      <c r="G584" s="118"/>
      <c r="J584" s="97"/>
    </row>
    <row r="585" ht="15.75" customHeight="1">
      <c r="A585" s="118"/>
      <c r="G585" s="118"/>
      <c r="J585" s="97"/>
    </row>
    <row r="586" ht="15.75" customHeight="1">
      <c r="A586" s="118"/>
      <c r="G586" s="118"/>
      <c r="J586" s="97"/>
    </row>
    <row r="587" ht="15.75" customHeight="1">
      <c r="A587" s="118"/>
      <c r="G587" s="118"/>
      <c r="J587" s="97"/>
    </row>
    <row r="588" ht="15.75" customHeight="1">
      <c r="A588" s="118"/>
      <c r="G588" s="118"/>
      <c r="J588" s="97"/>
    </row>
    <row r="589" ht="15.75" customHeight="1">
      <c r="A589" s="118"/>
      <c r="G589" s="118"/>
      <c r="J589" s="97"/>
    </row>
    <row r="590" ht="15.75" customHeight="1">
      <c r="A590" s="118"/>
      <c r="G590" s="118"/>
      <c r="J590" s="97"/>
    </row>
    <row r="591" ht="15.75" customHeight="1">
      <c r="A591" s="118"/>
      <c r="G591" s="118"/>
      <c r="J591" s="97"/>
    </row>
    <row r="592" ht="15.75" customHeight="1">
      <c r="A592" s="118"/>
      <c r="G592" s="118"/>
      <c r="J592" s="97"/>
    </row>
    <row r="593" ht="15.75" customHeight="1">
      <c r="A593" s="118"/>
      <c r="G593" s="118"/>
      <c r="J593" s="97"/>
    </row>
    <row r="594" ht="15.75" customHeight="1">
      <c r="A594" s="118"/>
      <c r="G594" s="118"/>
      <c r="J594" s="97"/>
    </row>
    <row r="595" ht="15.75" customHeight="1">
      <c r="A595" s="118"/>
      <c r="G595" s="118"/>
      <c r="J595" s="97"/>
    </row>
    <row r="596" ht="15.75" customHeight="1">
      <c r="A596" s="118"/>
      <c r="G596" s="118"/>
      <c r="J596" s="97"/>
    </row>
    <row r="597" ht="15.75" customHeight="1">
      <c r="A597" s="118"/>
      <c r="G597" s="118"/>
      <c r="J597" s="97"/>
    </row>
    <row r="598" ht="15.75" customHeight="1">
      <c r="A598" s="118"/>
      <c r="G598" s="118"/>
      <c r="J598" s="97"/>
    </row>
    <row r="599" ht="15.75" customHeight="1">
      <c r="A599" s="118"/>
      <c r="G599" s="118"/>
      <c r="J599" s="97"/>
    </row>
    <row r="600" ht="15.75" customHeight="1">
      <c r="A600" s="118"/>
      <c r="G600" s="118"/>
      <c r="J600" s="97"/>
    </row>
    <row r="601" ht="15.75" customHeight="1">
      <c r="A601" s="118"/>
      <c r="G601" s="118"/>
      <c r="J601" s="97"/>
    </row>
    <row r="602" ht="15.75" customHeight="1">
      <c r="A602" s="118"/>
      <c r="G602" s="118"/>
      <c r="J602" s="97"/>
    </row>
    <row r="603" ht="15.75" customHeight="1">
      <c r="A603" s="118"/>
      <c r="G603" s="118"/>
      <c r="J603" s="97"/>
    </row>
    <row r="604" ht="15.75" customHeight="1">
      <c r="A604" s="118"/>
      <c r="G604" s="118"/>
      <c r="J604" s="97"/>
    </row>
    <row r="605" ht="15.75" customHeight="1">
      <c r="A605" s="118"/>
      <c r="G605" s="118"/>
      <c r="J605" s="97"/>
    </row>
    <row r="606" ht="15.75" customHeight="1">
      <c r="A606" s="118"/>
      <c r="G606" s="118"/>
      <c r="J606" s="97"/>
    </row>
    <row r="607" ht="15.75" customHeight="1">
      <c r="A607" s="118"/>
      <c r="G607" s="118"/>
      <c r="J607" s="97"/>
    </row>
    <row r="608" ht="15.75" customHeight="1">
      <c r="A608" s="118"/>
      <c r="G608" s="118"/>
      <c r="J608" s="97"/>
    </row>
    <row r="609" ht="15.75" customHeight="1">
      <c r="A609" s="118"/>
      <c r="G609" s="118"/>
      <c r="J609" s="97"/>
    </row>
    <row r="610" ht="15.75" customHeight="1">
      <c r="A610" s="118"/>
      <c r="G610" s="118"/>
      <c r="J610" s="97"/>
    </row>
    <row r="611" ht="15.75" customHeight="1">
      <c r="A611" s="118"/>
      <c r="G611" s="118"/>
      <c r="J611" s="97"/>
    </row>
    <row r="612" ht="15.75" customHeight="1">
      <c r="A612" s="118"/>
      <c r="G612" s="118"/>
      <c r="J612" s="97"/>
    </row>
    <row r="613" ht="15.75" customHeight="1">
      <c r="A613" s="118"/>
      <c r="G613" s="118"/>
      <c r="J613" s="97"/>
    </row>
    <row r="614" ht="15.75" customHeight="1">
      <c r="A614" s="118"/>
      <c r="G614" s="118"/>
      <c r="J614" s="97"/>
    </row>
    <row r="615" ht="15.75" customHeight="1">
      <c r="A615" s="118"/>
      <c r="G615" s="118"/>
      <c r="J615" s="97"/>
    </row>
    <row r="616" ht="15.75" customHeight="1">
      <c r="A616" s="118"/>
      <c r="G616" s="118"/>
      <c r="J616" s="97"/>
    </row>
    <row r="617" ht="15.75" customHeight="1">
      <c r="A617" s="118"/>
      <c r="G617" s="118"/>
      <c r="J617" s="97"/>
    </row>
    <row r="618" ht="15.75" customHeight="1">
      <c r="A618" s="118"/>
      <c r="G618" s="118"/>
      <c r="J618" s="97"/>
    </row>
    <row r="619" ht="15.75" customHeight="1">
      <c r="A619" s="118"/>
      <c r="G619" s="118"/>
      <c r="J619" s="97"/>
    </row>
    <row r="620" ht="15.75" customHeight="1">
      <c r="A620" s="118"/>
      <c r="G620" s="118"/>
      <c r="J620" s="97"/>
    </row>
    <row r="621" ht="15.75" customHeight="1">
      <c r="A621" s="118"/>
      <c r="G621" s="118"/>
      <c r="J621" s="97"/>
    </row>
    <row r="622" ht="15.75" customHeight="1">
      <c r="A622" s="118"/>
      <c r="G622" s="118"/>
      <c r="J622" s="97"/>
    </row>
    <row r="623" ht="15.75" customHeight="1">
      <c r="A623" s="118"/>
      <c r="G623" s="118"/>
      <c r="J623" s="97"/>
    </row>
    <row r="624" ht="15.75" customHeight="1">
      <c r="A624" s="118"/>
      <c r="G624" s="118"/>
      <c r="J624" s="97"/>
    </row>
    <row r="625" ht="15.75" customHeight="1">
      <c r="A625" s="118"/>
      <c r="G625" s="118"/>
      <c r="J625" s="97"/>
    </row>
    <row r="626" ht="15.75" customHeight="1">
      <c r="A626" s="118"/>
      <c r="G626" s="118"/>
      <c r="J626" s="97"/>
    </row>
    <row r="627" ht="15.75" customHeight="1">
      <c r="A627" s="118"/>
      <c r="G627" s="118"/>
      <c r="J627" s="97"/>
    </row>
    <row r="628" ht="15.75" customHeight="1">
      <c r="A628" s="118"/>
      <c r="G628" s="118"/>
      <c r="J628" s="97"/>
    </row>
    <row r="629" ht="15.75" customHeight="1">
      <c r="A629" s="118"/>
      <c r="G629" s="118"/>
      <c r="J629" s="97"/>
    </row>
    <row r="630" ht="15.75" customHeight="1">
      <c r="A630" s="118"/>
      <c r="G630" s="118"/>
      <c r="J630" s="97"/>
    </row>
    <row r="631" ht="15.75" customHeight="1">
      <c r="A631" s="118"/>
      <c r="G631" s="118"/>
      <c r="J631" s="97"/>
    </row>
    <row r="632" ht="15.75" customHeight="1">
      <c r="A632" s="118"/>
      <c r="G632" s="118"/>
      <c r="J632" s="97"/>
    </row>
    <row r="633" ht="15.75" customHeight="1">
      <c r="A633" s="118"/>
      <c r="G633" s="118"/>
      <c r="J633" s="97"/>
    </row>
    <row r="634" ht="15.75" customHeight="1">
      <c r="A634" s="118"/>
      <c r="G634" s="118"/>
      <c r="J634" s="97"/>
    </row>
    <row r="635" ht="15.75" customHeight="1">
      <c r="A635" s="118"/>
      <c r="G635" s="118"/>
      <c r="J635" s="97"/>
    </row>
    <row r="636" ht="15.75" customHeight="1">
      <c r="A636" s="118"/>
      <c r="G636" s="118"/>
      <c r="J636" s="97"/>
    </row>
    <row r="637" ht="15.75" customHeight="1">
      <c r="A637" s="118"/>
      <c r="G637" s="118"/>
      <c r="J637" s="97"/>
    </row>
    <row r="638" ht="15.75" customHeight="1">
      <c r="A638" s="118"/>
      <c r="G638" s="118"/>
      <c r="J638" s="97"/>
    </row>
    <row r="639" ht="15.75" customHeight="1">
      <c r="A639" s="118"/>
      <c r="G639" s="118"/>
      <c r="J639" s="97"/>
    </row>
    <row r="640" ht="15.75" customHeight="1">
      <c r="A640" s="118"/>
      <c r="G640" s="118"/>
      <c r="J640" s="97"/>
    </row>
    <row r="641" ht="15.75" customHeight="1">
      <c r="A641" s="118"/>
      <c r="G641" s="118"/>
      <c r="J641" s="97"/>
    </row>
    <row r="642" ht="15.75" customHeight="1">
      <c r="A642" s="118"/>
      <c r="G642" s="118"/>
      <c r="J642" s="97"/>
    </row>
    <row r="643" ht="15.75" customHeight="1">
      <c r="A643" s="118"/>
      <c r="G643" s="118"/>
      <c r="J643" s="97"/>
    </row>
    <row r="644" ht="15.75" customHeight="1">
      <c r="A644" s="118"/>
      <c r="G644" s="118"/>
      <c r="J644" s="97"/>
    </row>
    <row r="645" ht="15.75" customHeight="1">
      <c r="A645" s="118"/>
      <c r="G645" s="118"/>
      <c r="J645" s="97"/>
    </row>
    <row r="646" ht="15.75" customHeight="1">
      <c r="A646" s="118"/>
      <c r="G646" s="118"/>
      <c r="J646" s="97"/>
    </row>
    <row r="647" ht="15.75" customHeight="1">
      <c r="A647" s="118"/>
      <c r="G647" s="118"/>
      <c r="J647" s="97"/>
    </row>
    <row r="648" ht="15.75" customHeight="1">
      <c r="A648" s="118"/>
      <c r="G648" s="118"/>
      <c r="J648" s="97"/>
    </row>
    <row r="649" ht="15.75" customHeight="1">
      <c r="A649" s="118"/>
      <c r="G649" s="118"/>
      <c r="J649" s="97"/>
    </row>
    <row r="650" ht="15.75" customHeight="1">
      <c r="A650" s="118"/>
      <c r="G650" s="118"/>
      <c r="J650" s="97"/>
    </row>
    <row r="651" ht="15.75" customHeight="1">
      <c r="A651" s="118"/>
      <c r="G651" s="118"/>
      <c r="J651" s="97"/>
    </row>
    <row r="652" ht="15.75" customHeight="1">
      <c r="A652" s="118"/>
      <c r="G652" s="118"/>
      <c r="J652" s="97"/>
    </row>
    <row r="653" ht="15.75" customHeight="1">
      <c r="A653" s="118"/>
      <c r="G653" s="118"/>
      <c r="J653" s="97"/>
    </row>
    <row r="654" ht="15.75" customHeight="1">
      <c r="A654" s="118"/>
      <c r="G654" s="118"/>
      <c r="J654" s="97"/>
    </row>
    <row r="655" ht="15.75" customHeight="1">
      <c r="A655" s="118"/>
      <c r="G655" s="118"/>
      <c r="J655" s="97"/>
    </row>
    <row r="656" ht="15.75" customHeight="1">
      <c r="A656" s="118"/>
      <c r="G656" s="118"/>
      <c r="J656" s="97"/>
    </row>
    <row r="657" ht="15.75" customHeight="1">
      <c r="A657" s="118"/>
      <c r="G657" s="118"/>
      <c r="J657" s="97"/>
    </row>
    <row r="658" ht="15.75" customHeight="1">
      <c r="A658" s="118"/>
      <c r="G658" s="118"/>
      <c r="J658" s="97"/>
    </row>
    <row r="659" ht="15.75" customHeight="1">
      <c r="A659" s="118"/>
      <c r="G659" s="118"/>
      <c r="J659" s="97"/>
    </row>
    <row r="660" ht="15.75" customHeight="1">
      <c r="A660" s="118"/>
      <c r="G660" s="118"/>
      <c r="J660" s="97"/>
    </row>
    <row r="661" ht="15.75" customHeight="1">
      <c r="A661" s="118"/>
      <c r="G661" s="118"/>
      <c r="J661" s="97"/>
    </row>
    <row r="662" ht="15.75" customHeight="1">
      <c r="A662" s="118"/>
      <c r="G662" s="118"/>
      <c r="J662" s="97"/>
    </row>
    <row r="663" ht="15.75" customHeight="1">
      <c r="A663" s="118"/>
      <c r="G663" s="118"/>
      <c r="J663" s="97"/>
    </row>
    <row r="664" ht="15.75" customHeight="1">
      <c r="A664" s="118"/>
      <c r="G664" s="118"/>
      <c r="J664" s="97"/>
    </row>
    <row r="665" ht="15.75" customHeight="1">
      <c r="A665" s="118"/>
      <c r="G665" s="118"/>
      <c r="J665" s="97"/>
    </row>
    <row r="666" ht="15.75" customHeight="1">
      <c r="A666" s="118"/>
      <c r="G666" s="118"/>
      <c r="J666" s="97"/>
    </row>
    <row r="667" ht="15.75" customHeight="1">
      <c r="A667" s="118"/>
      <c r="G667" s="118"/>
      <c r="J667" s="97"/>
    </row>
    <row r="668" ht="15.75" customHeight="1">
      <c r="A668" s="118"/>
      <c r="G668" s="118"/>
      <c r="J668" s="97"/>
    </row>
    <row r="669" ht="15.75" customHeight="1">
      <c r="A669" s="118"/>
      <c r="G669" s="118"/>
      <c r="J669" s="97"/>
    </row>
    <row r="670" ht="15.75" customHeight="1">
      <c r="A670" s="118"/>
      <c r="G670" s="118"/>
      <c r="J670" s="97"/>
    </row>
    <row r="671" ht="15.75" customHeight="1">
      <c r="A671" s="118"/>
      <c r="G671" s="118"/>
      <c r="J671" s="97"/>
    </row>
    <row r="672" ht="15.75" customHeight="1">
      <c r="A672" s="118"/>
      <c r="G672" s="118"/>
      <c r="J672" s="97"/>
    </row>
    <row r="673" ht="15.75" customHeight="1">
      <c r="A673" s="118"/>
      <c r="G673" s="118"/>
      <c r="J673" s="97"/>
    </row>
    <row r="674" ht="15.75" customHeight="1">
      <c r="A674" s="118"/>
      <c r="G674" s="118"/>
      <c r="J674" s="97"/>
    </row>
    <row r="675" ht="15.75" customHeight="1">
      <c r="A675" s="118"/>
      <c r="G675" s="118"/>
      <c r="J675" s="97"/>
    </row>
    <row r="676" ht="15.75" customHeight="1">
      <c r="A676" s="118"/>
      <c r="G676" s="118"/>
      <c r="J676" s="97"/>
    </row>
    <row r="677" ht="15.75" customHeight="1">
      <c r="A677" s="118"/>
      <c r="G677" s="118"/>
      <c r="J677" s="97"/>
    </row>
    <row r="678" ht="15.75" customHeight="1">
      <c r="A678" s="118"/>
      <c r="G678" s="118"/>
      <c r="J678" s="97"/>
    </row>
    <row r="679" ht="15.75" customHeight="1">
      <c r="A679" s="118"/>
      <c r="G679" s="118"/>
      <c r="J679" s="97"/>
    </row>
    <row r="680" ht="15.75" customHeight="1">
      <c r="A680" s="118"/>
      <c r="G680" s="118"/>
      <c r="J680" s="97"/>
    </row>
    <row r="681" ht="15.75" customHeight="1">
      <c r="A681" s="118"/>
      <c r="G681" s="118"/>
      <c r="J681" s="97"/>
    </row>
    <row r="682" ht="15.75" customHeight="1">
      <c r="A682" s="118"/>
      <c r="G682" s="118"/>
      <c r="J682" s="97"/>
    </row>
    <row r="683" ht="15.75" customHeight="1">
      <c r="A683" s="118"/>
      <c r="G683" s="118"/>
      <c r="J683" s="97"/>
    </row>
    <row r="684" ht="15.75" customHeight="1">
      <c r="A684" s="118"/>
      <c r="G684" s="118"/>
      <c r="J684" s="97"/>
    </row>
    <row r="685" ht="15.75" customHeight="1">
      <c r="A685" s="118"/>
      <c r="G685" s="118"/>
      <c r="J685" s="97"/>
    </row>
    <row r="686" ht="15.75" customHeight="1">
      <c r="A686" s="118"/>
      <c r="G686" s="118"/>
      <c r="J686" s="97"/>
    </row>
    <row r="687" ht="15.75" customHeight="1">
      <c r="A687" s="118"/>
      <c r="G687" s="118"/>
      <c r="J687" s="97"/>
    </row>
    <row r="688" ht="15.75" customHeight="1">
      <c r="A688" s="118"/>
      <c r="G688" s="118"/>
      <c r="J688" s="97"/>
    </row>
    <row r="689" ht="15.75" customHeight="1">
      <c r="A689" s="118"/>
      <c r="G689" s="118"/>
      <c r="J689" s="97"/>
    </row>
    <row r="690" ht="15.75" customHeight="1">
      <c r="A690" s="118"/>
      <c r="G690" s="118"/>
      <c r="J690" s="97"/>
    </row>
    <row r="691" ht="15.75" customHeight="1">
      <c r="A691" s="118"/>
      <c r="G691" s="118"/>
      <c r="J691" s="97"/>
    </row>
    <row r="692" ht="15.75" customHeight="1">
      <c r="A692" s="118"/>
      <c r="G692" s="118"/>
      <c r="J692" s="97"/>
    </row>
    <row r="693" ht="15.75" customHeight="1">
      <c r="A693" s="118"/>
      <c r="G693" s="118"/>
      <c r="J693" s="97"/>
    </row>
    <row r="694" ht="15.75" customHeight="1">
      <c r="A694" s="118"/>
      <c r="G694" s="118"/>
      <c r="J694" s="97"/>
    </row>
    <row r="695" ht="15.75" customHeight="1">
      <c r="A695" s="118"/>
      <c r="G695" s="118"/>
      <c r="J695" s="97"/>
    </row>
    <row r="696" ht="15.75" customHeight="1">
      <c r="A696" s="118"/>
      <c r="G696" s="118"/>
      <c r="J696" s="97"/>
    </row>
    <row r="697" ht="15.75" customHeight="1">
      <c r="A697" s="118"/>
      <c r="G697" s="118"/>
      <c r="J697" s="97"/>
    </row>
    <row r="698" ht="15.75" customHeight="1">
      <c r="A698" s="118"/>
      <c r="G698" s="118"/>
      <c r="J698" s="97"/>
    </row>
    <row r="699" ht="15.75" customHeight="1">
      <c r="A699" s="118"/>
      <c r="G699" s="118"/>
      <c r="J699" s="97"/>
    </row>
    <row r="700" ht="15.75" customHeight="1">
      <c r="A700" s="118"/>
      <c r="G700" s="118"/>
      <c r="J700" s="97"/>
    </row>
    <row r="701" ht="15.75" customHeight="1">
      <c r="A701" s="118"/>
      <c r="G701" s="118"/>
      <c r="J701" s="97"/>
    </row>
    <row r="702" ht="15.75" customHeight="1">
      <c r="A702" s="118"/>
      <c r="G702" s="118"/>
      <c r="J702" s="97"/>
    </row>
    <row r="703" ht="15.75" customHeight="1">
      <c r="A703" s="118"/>
      <c r="G703" s="118"/>
      <c r="J703" s="97"/>
    </row>
    <row r="704" ht="15.75" customHeight="1">
      <c r="A704" s="118"/>
      <c r="G704" s="118"/>
      <c r="J704" s="97"/>
    </row>
    <row r="705" ht="15.75" customHeight="1">
      <c r="A705" s="118"/>
      <c r="G705" s="118"/>
      <c r="J705" s="97"/>
    </row>
    <row r="706" ht="15.75" customHeight="1">
      <c r="A706" s="118"/>
      <c r="G706" s="118"/>
      <c r="J706" s="97"/>
    </row>
    <row r="707" ht="15.75" customHeight="1">
      <c r="A707" s="118"/>
      <c r="G707" s="118"/>
      <c r="J707" s="97"/>
    </row>
    <row r="708" ht="15.75" customHeight="1">
      <c r="A708" s="118"/>
      <c r="G708" s="118"/>
      <c r="J708" s="97"/>
    </row>
    <row r="709" ht="15.75" customHeight="1">
      <c r="A709" s="118"/>
      <c r="G709" s="118"/>
      <c r="J709" s="97"/>
    </row>
    <row r="710" ht="15.75" customHeight="1">
      <c r="A710" s="118"/>
      <c r="G710" s="118"/>
      <c r="J710" s="97"/>
    </row>
    <row r="711" ht="15.75" customHeight="1">
      <c r="A711" s="118"/>
      <c r="G711" s="118"/>
      <c r="J711" s="97"/>
    </row>
    <row r="712" ht="15.75" customHeight="1">
      <c r="A712" s="118"/>
      <c r="G712" s="118"/>
      <c r="J712" s="97"/>
    </row>
    <row r="713" ht="15.75" customHeight="1">
      <c r="A713" s="118"/>
      <c r="G713" s="118"/>
      <c r="J713" s="97"/>
    </row>
    <row r="714" ht="15.75" customHeight="1">
      <c r="A714" s="118"/>
      <c r="G714" s="118"/>
      <c r="J714" s="97"/>
    </row>
    <row r="715" ht="15.75" customHeight="1">
      <c r="A715" s="118"/>
      <c r="G715" s="118"/>
      <c r="J715" s="97"/>
    </row>
    <row r="716" ht="15.75" customHeight="1">
      <c r="A716" s="118"/>
      <c r="G716" s="118"/>
      <c r="J716" s="97"/>
    </row>
    <row r="717" ht="15.75" customHeight="1">
      <c r="A717" s="118"/>
      <c r="G717" s="118"/>
      <c r="J717" s="97"/>
    </row>
    <row r="718" ht="15.75" customHeight="1">
      <c r="A718" s="118"/>
      <c r="G718" s="118"/>
      <c r="J718" s="97"/>
    </row>
    <row r="719" ht="15.75" customHeight="1">
      <c r="A719" s="118"/>
      <c r="G719" s="118"/>
      <c r="J719" s="97"/>
    </row>
    <row r="720" ht="15.75" customHeight="1">
      <c r="A720" s="118"/>
      <c r="G720" s="118"/>
      <c r="J720" s="97"/>
    </row>
    <row r="721" ht="15.75" customHeight="1">
      <c r="A721" s="118"/>
      <c r="G721" s="118"/>
      <c r="J721" s="97"/>
    </row>
    <row r="722" ht="15.75" customHeight="1">
      <c r="A722" s="118"/>
      <c r="G722" s="118"/>
      <c r="J722" s="97"/>
    </row>
    <row r="723" ht="15.75" customHeight="1">
      <c r="A723" s="118"/>
      <c r="G723" s="118"/>
      <c r="J723" s="97"/>
    </row>
    <row r="724" ht="15.75" customHeight="1">
      <c r="A724" s="118"/>
      <c r="G724" s="118"/>
      <c r="J724" s="97"/>
    </row>
    <row r="725" ht="15.75" customHeight="1">
      <c r="A725" s="118"/>
      <c r="G725" s="118"/>
      <c r="J725" s="97"/>
    </row>
    <row r="726" ht="15.75" customHeight="1">
      <c r="A726" s="118"/>
      <c r="G726" s="118"/>
      <c r="J726" s="97"/>
    </row>
    <row r="727" ht="15.75" customHeight="1">
      <c r="A727" s="118"/>
      <c r="G727" s="118"/>
      <c r="J727" s="97"/>
    </row>
    <row r="728" ht="15.75" customHeight="1">
      <c r="A728" s="118"/>
      <c r="G728" s="118"/>
      <c r="J728" s="97"/>
    </row>
    <row r="729" ht="15.75" customHeight="1">
      <c r="A729" s="118"/>
      <c r="G729" s="118"/>
      <c r="J729" s="97"/>
    </row>
    <row r="730" ht="15.75" customHeight="1">
      <c r="A730" s="118"/>
      <c r="G730" s="118"/>
      <c r="J730" s="97"/>
    </row>
    <row r="731" ht="15.75" customHeight="1">
      <c r="A731" s="118"/>
      <c r="G731" s="118"/>
      <c r="J731" s="97"/>
    </row>
    <row r="732" ht="15.75" customHeight="1">
      <c r="A732" s="118"/>
      <c r="G732" s="118"/>
      <c r="J732" s="97"/>
    </row>
    <row r="733" ht="15.75" customHeight="1">
      <c r="A733" s="118"/>
      <c r="G733" s="118"/>
      <c r="J733" s="97"/>
    </row>
    <row r="734" ht="15.75" customHeight="1">
      <c r="A734" s="118"/>
      <c r="G734" s="118"/>
      <c r="J734" s="97"/>
    </row>
    <row r="735" ht="15.75" customHeight="1">
      <c r="A735" s="118"/>
      <c r="G735" s="118"/>
      <c r="J735" s="97"/>
    </row>
    <row r="736" ht="15.75" customHeight="1">
      <c r="A736" s="118"/>
      <c r="G736" s="118"/>
      <c r="J736" s="97"/>
    </row>
    <row r="737" ht="15.75" customHeight="1">
      <c r="A737" s="118"/>
      <c r="G737" s="118"/>
      <c r="J737" s="97"/>
    </row>
    <row r="738" ht="15.75" customHeight="1">
      <c r="A738" s="118"/>
      <c r="G738" s="118"/>
      <c r="J738" s="97"/>
    </row>
    <row r="739" ht="15.75" customHeight="1">
      <c r="A739" s="118"/>
      <c r="G739" s="118"/>
      <c r="J739" s="97"/>
    </row>
    <row r="740" ht="15.75" customHeight="1">
      <c r="A740" s="118"/>
      <c r="G740" s="118"/>
      <c r="J740" s="97"/>
    </row>
    <row r="741" ht="15.75" customHeight="1">
      <c r="A741" s="118"/>
      <c r="G741" s="118"/>
      <c r="J741" s="97"/>
    </row>
    <row r="742" ht="15.75" customHeight="1">
      <c r="A742" s="118"/>
      <c r="G742" s="118"/>
      <c r="J742" s="97"/>
    </row>
    <row r="743" ht="15.75" customHeight="1">
      <c r="A743" s="118"/>
      <c r="G743" s="118"/>
      <c r="J743" s="97"/>
    </row>
    <row r="744" ht="15.75" customHeight="1">
      <c r="A744" s="118"/>
      <c r="G744" s="118"/>
      <c r="J744" s="97"/>
    </row>
    <row r="745" ht="15.75" customHeight="1">
      <c r="A745" s="118"/>
      <c r="G745" s="118"/>
      <c r="J745" s="97"/>
    </row>
    <row r="746" ht="15.75" customHeight="1">
      <c r="A746" s="118"/>
      <c r="G746" s="118"/>
      <c r="J746" s="97"/>
    </row>
    <row r="747" ht="15.75" customHeight="1">
      <c r="A747" s="118"/>
      <c r="G747" s="118"/>
      <c r="J747" s="97"/>
    </row>
    <row r="748" ht="15.75" customHeight="1">
      <c r="A748" s="118"/>
      <c r="G748" s="118"/>
      <c r="J748" s="97"/>
    </row>
    <row r="749" ht="15.75" customHeight="1">
      <c r="A749" s="118"/>
      <c r="G749" s="118"/>
      <c r="J749" s="97"/>
    </row>
    <row r="750" ht="15.75" customHeight="1">
      <c r="A750" s="118"/>
      <c r="G750" s="118"/>
      <c r="J750" s="97"/>
    </row>
    <row r="751" ht="15.75" customHeight="1">
      <c r="A751" s="118"/>
      <c r="G751" s="118"/>
      <c r="J751" s="97"/>
    </row>
    <row r="752" ht="15.75" customHeight="1">
      <c r="A752" s="118"/>
      <c r="G752" s="118"/>
      <c r="J752" s="97"/>
    </row>
    <row r="753" ht="15.75" customHeight="1">
      <c r="A753" s="118"/>
      <c r="G753" s="118"/>
      <c r="J753" s="97"/>
    </row>
    <row r="754" ht="15.75" customHeight="1">
      <c r="A754" s="118"/>
      <c r="G754" s="118"/>
      <c r="J754" s="97"/>
    </row>
    <row r="755" ht="15.75" customHeight="1">
      <c r="A755" s="118"/>
      <c r="G755" s="118"/>
      <c r="J755" s="97"/>
    </row>
    <row r="756" ht="15.75" customHeight="1">
      <c r="A756" s="118"/>
      <c r="G756" s="118"/>
      <c r="J756" s="97"/>
    </row>
    <row r="757" ht="15.75" customHeight="1">
      <c r="A757" s="118"/>
      <c r="G757" s="118"/>
      <c r="J757" s="97"/>
    </row>
    <row r="758" ht="15.75" customHeight="1">
      <c r="A758" s="118"/>
      <c r="G758" s="118"/>
      <c r="J758" s="97"/>
    </row>
    <row r="759" ht="15.75" customHeight="1">
      <c r="A759" s="118"/>
      <c r="G759" s="118"/>
      <c r="J759" s="97"/>
    </row>
    <row r="760" ht="15.75" customHeight="1">
      <c r="A760" s="118"/>
      <c r="G760" s="118"/>
      <c r="J760" s="97"/>
    </row>
    <row r="761" ht="15.75" customHeight="1">
      <c r="A761" s="118"/>
      <c r="G761" s="118"/>
      <c r="J761" s="97"/>
    </row>
    <row r="762" ht="15.75" customHeight="1">
      <c r="A762" s="118"/>
      <c r="G762" s="118"/>
      <c r="J762" s="97"/>
    </row>
    <row r="763" ht="15.75" customHeight="1">
      <c r="A763" s="118"/>
      <c r="G763" s="118"/>
      <c r="J763" s="97"/>
    </row>
    <row r="764" ht="15.75" customHeight="1">
      <c r="A764" s="118"/>
      <c r="G764" s="118"/>
      <c r="J764" s="97"/>
    </row>
    <row r="765" ht="15.75" customHeight="1">
      <c r="A765" s="118"/>
      <c r="G765" s="118"/>
      <c r="J765" s="97"/>
    </row>
    <row r="766" ht="15.75" customHeight="1">
      <c r="A766" s="118"/>
      <c r="G766" s="118"/>
      <c r="J766" s="97"/>
    </row>
    <row r="767" ht="15.75" customHeight="1">
      <c r="A767" s="118"/>
      <c r="G767" s="118"/>
      <c r="J767" s="97"/>
    </row>
    <row r="768" ht="15.75" customHeight="1">
      <c r="A768" s="118"/>
      <c r="G768" s="118"/>
      <c r="J768" s="97"/>
    </row>
    <row r="769" ht="15.75" customHeight="1">
      <c r="A769" s="118"/>
      <c r="G769" s="118"/>
      <c r="J769" s="97"/>
    </row>
    <row r="770" ht="15.75" customHeight="1">
      <c r="A770" s="118"/>
      <c r="G770" s="118"/>
      <c r="J770" s="97"/>
    </row>
    <row r="771" ht="15.75" customHeight="1">
      <c r="A771" s="118"/>
      <c r="G771" s="118"/>
      <c r="J771" s="97"/>
    </row>
    <row r="772" ht="15.75" customHeight="1">
      <c r="A772" s="118"/>
      <c r="G772" s="118"/>
      <c r="J772" s="97"/>
    </row>
    <row r="773" ht="15.75" customHeight="1">
      <c r="A773" s="118"/>
      <c r="G773" s="118"/>
      <c r="J773" s="97"/>
    </row>
    <row r="774" ht="15.75" customHeight="1">
      <c r="A774" s="118"/>
      <c r="G774" s="118"/>
      <c r="J774" s="97"/>
    </row>
    <row r="775" ht="15.75" customHeight="1">
      <c r="A775" s="118"/>
      <c r="G775" s="118"/>
      <c r="J775" s="97"/>
    </row>
    <row r="776" ht="15.75" customHeight="1">
      <c r="A776" s="118"/>
      <c r="G776" s="118"/>
      <c r="J776" s="97"/>
    </row>
    <row r="777" ht="15.75" customHeight="1">
      <c r="A777" s="118"/>
      <c r="G777" s="118"/>
      <c r="J777" s="97"/>
    </row>
    <row r="778" ht="15.75" customHeight="1">
      <c r="A778" s="118"/>
      <c r="G778" s="118"/>
      <c r="J778" s="97"/>
    </row>
    <row r="779" ht="15.75" customHeight="1">
      <c r="A779" s="118"/>
      <c r="G779" s="118"/>
      <c r="J779" s="97"/>
    </row>
    <row r="780" ht="15.75" customHeight="1">
      <c r="A780" s="118"/>
      <c r="G780" s="118"/>
      <c r="J780" s="97"/>
    </row>
    <row r="781" ht="15.75" customHeight="1">
      <c r="A781" s="118"/>
      <c r="G781" s="118"/>
      <c r="J781" s="97"/>
    </row>
    <row r="782" ht="15.75" customHeight="1">
      <c r="A782" s="118"/>
      <c r="G782" s="118"/>
      <c r="J782" s="97"/>
    </row>
    <row r="783" ht="15.75" customHeight="1">
      <c r="A783" s="118"/>
      <c r="G783" s="118"/>
      <c r="J783" s="97"/>
    </row>
    <row r="784" ht="15.75" customHeight="1">
      <c r="A784" s="118"/>
      <c r="G784" s="118"/>
      <c r="J784" s="97"/>
    </row>
    <row r="785" ht="15.75" customHeight="1">
      <c r="A785" s="118"/>
      <c r="G785" s="118"/>
      <c r="J785" s="97"/>
    </row>
    <row r="786" ht="15.75" customHeight="1">
      <c r="A786" s="118"/>
      <c r="G786" s="118"/>
      <c r="J786" s="97"/>
    </row>
    <row r="787" ht="15.75" customHeight="1">
      <c r="A787" s="118"/>
      <c r="G787" s="118"/>
      <c r="J787" s="97"/>
    </row>
    <row r="788" ht="15.75" customHeight="1">
      <c r="A788" s="118"/>
      <c r="G788" s="118"/>
      <c r="J788" s="97"/>
    </row>
    <row r="789" ht="15.75" customHeight="1">
      <c r="A789" s="118"/>
      <c r="G789" s="118"/>
      <c r="J789" s="97"/>
    </row>
    <row r="790" ht="15.75" customHeight="1">
      <c r="A790" s="118"/>
      <c r="G790" s="118"/>
      <c r="J790" s="97"/>
    </row>
    <row r="791" ht="15.75" customHeight="1">
      <c r="A791" s="118"/>
      <c r="G791" s="118"/>
      <c r="J791" s="97"/>
    </row>
    <row r="792" ht="15.75" customHeight="1">
      <c r="A792" s="118"/>
      <c r="G792" s="118"/>
      <c r="J792" s="97"/>
    </row>
    <row r="793" ht="15.75" customHeight="1">
      <c r="A793" s="118"/>
      <c r="G793" s="118"/>
      <c r="J793" s="97"/>
    </row>
    <row r="794" ht="15.75" customHeight="1">
      <c r="A794" s="118"/>
      <c r="G794" s="118"/>
      <c r="J794" s="97"/>
    </row>
    <row r="795" ht="15.75" customHeight="1">
      <c r="A795" s="118"/>
      <c r="G795" s="118"/>
      <c r="J795" s="97"/>
    </row>
    <row r="796" ht="15.75" customHeight="1">
      <c r="A796" s="118"/>
      <c r="G796" s="118"/>
      <c r="J796" s="97"/>
    </row>
    <row r="797" ht="15.75" customHeight="1">
      <c r="A797" s="118"/>
      <c r="G797" s="118"/>
      <c r="J797" s="97"/>
    </row>
    <row r="798" ht="15.75" customHeight="1">
      <c r="A798" s="118"/>
      <c r="G798" s="118"/>
      <c r="J798" s="97"/>
    </row>
    <row r="799" ht="15.75" customHeight="1">
      <c r="A799" s="118"/>
      <c r="G799" s="118"/>
      <c r="J799" s="97"/>
    </row>
    <row r="800" ht="15.75" customHeight="1">
      <c r="A800" s="118"/>
      <c r="G800" s="118"/>
      <c r="J800" s="97"/>
    </row>
    <row r="801" ht="15.75" customHeight="1">
      <c r="A801" s="118"/>
      <c r="G801" s="118"/>
      <c r="J801" s="97"/>
    </row>
    <row r="802" ht="15.75" customHeight="1">
      <c r="A802" s="118"/>
      <c r="G802" s="118"/>
      <c r="J802" s="97"/>
    </row>
    <row r="803" ht="15.75" customHeight="1">
      <c r="A803" s="118"/>
      <c r="G803" s="118"/>
      <c r="J803" s="97"/>
    </row>
    <row r="804" ht="15.75" customHeight="1">
      <c r="A804" s="118"/>
      <c r="G804" s="118"/>
      <c r="J804" s="97"/>
    </row>
    <row r="805" ht="15.75" customHeight="1">
      <c r="A805" s="118"/>
      <c r="G805" s="118"/>
      <c r="J805" s="97"/>
    </row>
    <row r="806" ht="15.75" customHeight="1">
      <c r="A806" s="118"/>
      <c r="G806" s="118"/>
      <c r="J806" s="97"/>
    </row>
    <row r="807" ht="15.75" customHeight="1">
      <c r="A807" s="118"/>
      <c r="G807" s="118"/>
      <c r="J807" s="97"/>
    </row>
    <row r="808" ht="15.75" customHeight="1">
      <c r="A808" s="118"/>
      <c r="G808" s="118"/>
      <c r="J808" s="97"/>
    </row>
    <row r="809" ht="15.75" customHeight="1">
      <c r="A809" s="118"/>
      <c r="G809" s="118"/>
      <c r="J809" s="97"/>
    </row>
    <row r="810" ht="15.75" customHeight="1">
      <c r="A810" s="118"/>
      <c r="G810" s="118"/>
      <c r="J810" s="97"/>
    </row>
    <row r="811" ht="15.75" customHeight="1">
      <c r="A811" s="118"/>
      <c r="G811" s="118"/>
      <c r="J811" s="97"/>
    </row>
    <row r="812" ht="15.75" customHeight="1">
      <c r="A812" s="118"/>
      <c r="G812" s="118"/>
      <c r="J812" s="97"/>
    </row>
    <row r="813" ht="15.75" customHeight="1">
      <c r="A813" s="118"/>
      <c r="G813" s="118"/>
      <c r="J813" s="97"/>
    </row>
    <row r="814" ht="15.75" customHeight="1">
      <c r="A814" s="118"/>
      <c r="G814" s="118"/>
      <c r="J814" s="97"/>
    </row>
    <row r="815" ht="15.75" customHeight="1">
      <c r="A815" s="118"/>
      <c r="G815" s="118"/>
      <c r="J815" s="97"/>
    </row>
    <row r="816" ht="15.75" customHeight="1">
      <c r="A816" s="118"/>
      <c r="G816" s="118"/>
      <c r="J816" s="97"/>
    </row>
    <row r="817" ht="15.75" customHeight="1">
      <c r="A817" s="118"/>
      <c r="G817" s="118"/>
      <c r="J817" s="97"/>
    </row>
    <row r="818" ht="15.75" customHeight="1">
      <c r="A818" s="118"/>
      <c r="G818" s="118"/>
      <c r="J818" s="97"/>
    </row>
    <row r="819" ht="15.75" customHeight="1">
      <c r="A819" s="118"/>
      <c r="G819" s="118"/>
      <c r="J819" s="97"/>
    </row>
    <row r="820" ht="15.75" customHeight="1">
      <c r="A820" s="118"/>
      <c r="G820" s="118"/>
      <c r="J820" s="97"/>
    </row>
    <row r="821" ht="15.75" customHeight="1">
      <c r="A821" s="118"/>
      <c r="G821" s="118"/>
      <c r="J821" s="97"/>
    </row>
    <row r="822" ht="15.75" customHeight="1">
      <c r="A822" s="118"/>
      <c r="G822" s="118"/>
      <c r="J822" s="97"/>
    </row>
    <row r="823" ht="15.75" customHeight="1">
      <c r="A823" s="118"/>
      <c r="G823" s="118"/>
      <c r="J823" s="97"/>
    </row>
    <row r="824" ht="15.75" customHeight="1">
      <c r="A824" s="118"/>
      <c r="G824" s="118"/>
      <c r="J824" s="97"/>
    </row>
    <row r="825" ht="15.75" customHeight="1">
      <c r="A825" s="118"/>
      <c r="G825" s="118"/>
      <c r="J825" s="97"/>
    </row>
    <row r="826" ht="15.75" customHeight="1">
      <c r="A826" s="118"/>
      <c r="G826" s="118"/>
      <c r="J826" s="97"/>
    </row>
    <row r="827" ht="15.75" customHeight="1">
      <c r="A827" s="118"/>
      <c r="G827" s="118"/>
      <c r="J827" s="97"/>
    </row>
    <row r="828" ht="15.75" customHeight="1">
      <c r="A828" s="118"/>
      <c r="G828" s="118"/>
      <c r="J828" s="97"/>
    </row>
    <row r="829" ht="15.75" customHeight="1">
      <c r="A829" s="118"/>
      <c r="G829" s="118"/>
      <c r="J829" s="97"/>
    </row>
    <row r="830" ht="15.75" customHeight="1">
      <c r="A830" s="118"/>
      <c r="G830" s="118"/>
      <c r="J830" s="97"/>
    </row>
    <row r="831" ht="15.75" customHeight="1">
      <c r="A831" s="118"/>
      <c r="G831" s="118"/>
      <c r="J831" s="97"/>
    </row>
    <row r="832" ht="15.75" customHeight="1">
      <c r="A832" s="118"/>
      <c r="G832" s="118"/>
      <c r="J832" s="97"/>
    </row>
    <row r="833" ht="15.75" customHeight="1">
      <c r="A833" s="118"/>
      <c r="G833" s="118"/>
      <c r="J833" s="97"/>
    </row>
    <row r="834" ht="15.75" customHeight="1">
      <c r="A834" s="118"/>
      <c r="G834" s="118"/>
      <c r="J834" s="97"/>
    </row>
    <row r="835" ht="15.75" customHeight="1">
      <c r="A835" s="118"/>
      <c r="G835" s="118"/>
      <c r="J835" s="97"/>
    </row>
    <row r="836" ht="15.75" customHeight="1">
      <c r="A836" s="118"/>
      <c r="G836" s="118"/>
      <c r="J836" s="97"/>
    </row>
    <row r="837" ht="15.75" customHeight="1">
      <c r="A837" s="118"/>
      <c r="G837" s="118"/>
      <c r="J837" s="97"/>
    </row>
    <row r="838" ht="15.75" customHeight="1">
      <c r="A838" s="118"/>
      <c r="G838" s="118"/>
      <c r="J838" s="97"/>
    </row>
    <row r="839" ht="15.75" customHeight="1">
      <c r="A839" s="118"/>
      <c r="G839" s="118"/>
      <c r="J839" s="97"/>
    </row>
    <row r="840" ht="15.75" customHeight="1">
      <c r="A840" s="118"/>
      <c r="G840" s="118"/>
      <c r="J840" s="97"/>
    </row>
    <row r="841" ht="15.75" customHeight="1">
      <c r="A841" s="118"/>
      <c r="G841" s="118"/>
      <c r="J841" s="97"/>
    </row>
    <row r="842" ht="15.75" customHeight="1">
      <c r="A842" s="118"/>
      <c r="G842" s="118"/>
      <c r="J842" s="97"/>
    </row>
    <row r="843" ht="15.75" customHeight="1">
      <c r="A843" s="118"/>
      <c r="G843" s="118"/>
      <c r="J843" s="97"/>
    </row>
    <row r="844" ht="15.75" customHeight="1">
      <c r="A844" s="118"/>
      <c r="G844" s="118"/>
      <c r="J844" s="97"/>
    </row>
    <row r="845" ht="15.75" customHeight="1">
      <c r="A845" s="118"/>
      <c r="G845" s="118"/>
      <c r="J845" s="97"/>
    </row>
    <row r="846" ht="15.75" customHeight="1">
      <c r="A846" s="118"/>
      <c r="G846" s="118"/>
      <c r="J846" s="97"/>
    </row>
    <row r="847" ht="15.75" customHeight="1">
      <c r="A847" s="118"/>
      <c r="G847" s="118"/>
      <c r="J847" s="97"/>
    </row>
    <row r="848" ht="15.75" customHeight="1">
      <c r="A848" s="118"/>
      <c r="G848" s="118"/>
      <c r="J848" s="97"/>
    </row>
    <row r="849" ht="15.75" customHeight="1">
      <c r="A849" s="118"/>
      <c r="G849" s="118"/>
      <c r="J849" s="97"/>
    </row>
    <row r="850" ht="15.75" customHeight="1">
      <c r="A850" s="118"/>
      <c r="G850" s="118"/>
      <c r="J850" s="97"/>
    </row>
    <row r="851" ht="15.75" customHeight="1">
      <c r="A851" s="118"/>
      <c r="G851" s="118"/>
      <c r="J851" s="97"/>
    </row>
    <row r="852" ht="15.75" customHeight="1">
      <c r="A852" s="118"/>
      <c r="G852" s="118"/>
      <c r="J852" s="97"/>
    </row>
    <row r="853" ht="15.75" customHeight="1">
      <c r="A853" s="118"/>
      <c r="G853" s="118"/>
      <c r="J853" s="97"/>
    </row>
    <row r="854" ht="15.75" customHeight="1">
      <c r="A854" s="118"/>
      <c r="G854" s="118"/>
      <c r="J854" s="97"/>
    </row>
    <row r="855" ht="15.75" customHeight="1">
      <c r="A855" s="118"/>
      <c r="G855" s="118"/>
      <c r="J855" s="97"/>
    </row>
    <row r="856" ht="15.75" customHeight="1">
      <c r="A856" s="118"/>
      <c r="G856" s="118"/>
      <c r="J856" s="97"/>
    </row>
    <row r="857" ht="15.75" customHeight="1">
      <c r="A857" s="118"/>
      <c r="G857" s="118"/>
      <c r="J857" s="97"/>
    </row>
    <row r="858" ht="15.75" customHeight="1">
      <c r="A858" s="118"/>
      <c r="G858" s="118"/>
      <c r="J858" s="97"/>
    </row>
    <row r="859" ht="15.75" customHeight="1">
      <c r="A859" s="118"/>
      <c r="G859" s="118"/>
      <c r="J859" s="97"/>
    </row>
    <row r="860" ht="15.75" customHeight="1">
      <c r="A860" s="118"/>
      <c r="G860" s="118"/>
      <c r="J860" s="97"/>
    </row>
    <row r="861" ht="15.75" customHeight="1">
      <c r="A861" s="118"/>
      <c r="G861" s="118"/>
      <c r="J861" s="97"/>
    </row>
    <row r="862" ht="15.75" customHeight="1">
      <c r="A862" s="118"/>
      <c r="G862" s="118"/>
      <c r="J862" s="97"/>
    </row>
    <row r="863" ht="15.75" customHeight="1">
      <c r="A863" s="118"/>
      <c r="G863" s="118"/>
      <c r="J863" s="97"/>
    </row>
    <row r="864" ht="15.75" customHeight="1">
      <c r="A864" s="118"/>
      <c r="G864" s="118"/>
      <c r="J864" s="97"/>
    </row>
    <row r="865" ht="15.75" customHeight="1">
      <c r="A865" s="118"/>
      <c r="G865" s="118"/>
      <c r="J865" s="97"/>
    </row>
    <row r="866" ht="15.75" customHeight="1">
      <c r="A866" s="118"/>
      <c r="G866" s="118"/>
      <c r="J866" s="97"/>
    </row>
    <row r="867" ht="15.75" customHeight="1">
      <c r="A867" s="118"/>
      <c r="G867" s="118"/>
      <c r="J867" s="97"/>
    </row>
    <row r="868" ht="15.75" customHeight="1">
      <c r="A868" s="118"/>
      <c r="G868" s="118"/>
      <c r="J868" s="97"/>
    </row>
    <row r="869" ht="15.75" customHeight="1">
      <c r="A869" s="118"/>
      <c r="G869" s="118"/>
      <c r="J869" s="97"/>
    </row>
    <row r="870" ht="15.75" customHeight="1">
      <c r="A870" s="118"/>
      <c r="G870" s="118"/>
      <c r="J870" s="97"/>
    </row>
    <row r="871" ht="15.75" customHeight="1">
      <c r="A871" s="118"/>
      <c r="G871" s="118"/>
      <c r="J871" s="97"/>
    </row>
    <row r="872" ht="15.75" customHeight="1">
      <c r="A872" s="118"/>
      <c r="G872" s="118"/>
      <c r="J872" s="97"/>
    </row>
    <row r="873" ht="15.75" customHeight="1">
      <c r="A873" s="118"/>
      <c r="G873" s="118"/>
      <c r="J873" s="97"/>
    </row>
    <row r="874" ht="15.75" customHeight="1">
      <c r="A874" s="118"/>
      <c r="G874" s="118"/>
      <c r="J874" s="97"/>
    </row>
    <row r="875" ht="15.75" customHeight="1">
      <c r="A875" s="118"/>
      <c r="G875" s="118"/>
      <c r="J875" s="97"/>
    </row>
    <row r="876" ht="15.75" customHeight="1">
      <c r="A876" s="118"/>
      <c r="G876" s="118"/>
      <c r="J876" s="97"/>
    </row>
    <row r="877" ht="15.75" customHeight="1">
      <c r="A877" s="118"/>
      <c r="G877" s="118"/>
      <c r="J877" s="97"/>
    </row>
    <row r="878" ht="15.75" customHeight="1">
      <c r="A878" s="118"/>
      <c r="G878" s="118"/>
      <c r="J878" s="97"/>
    </row>
    <row r="879" ht="15.75" customHeight="1">
      <c r="A879" s="118"/>
      <c r="G879" s="118"/>
      <c r="J879" s="97"/>
    </row>
    <row r="880" ht="15.75" customHeight="1">
      <c r="A880" s="118"/>
      <c r="G880" s="118"/>
      <c r="J880" s="97"/>
    </row>
    <row r="881" ht="15.75" customHeight="1">
      <c r="A881" s="118"/>
      <c r="G881" s="118"/>
      <c r="J881" s="97"/>
    </row>
    <row r="882" ht="15.75" customHeight="1">
      <c r="A882" s="118"/>
      <c r="G882" s="118"/>
      <c r="J882" s="97"/>
    </row>
    <row r="883" ht="15.75" customHeight="1">
      <c r="A883" s="118"/>
      <c r="G883" s="118"/>
      <c r="J883" s="97"/>
    </row>
    <row r="884" ht="15.75" customHeight="1">
      <c r="A884" s="118"/>
      <c r="G884" s="118"/>
      <c r="J884" s="97"/>
    </row>
    <row r="885" ht="15.75" customHeight="1">
      <c r="A885" s="118"/>
      <c r="G885" s="118"/>
      <c r="J885" s="97"/>
    </row>
    <row r="886" ht="15.75" customHeight="1">
      <c r="A886" s="118"/>
      <c r="G886" s="118"/>
      <c r="J886" s="97"/>
    </row>
    <row r="887" ht="15.75" customHeight="1">
      <c r="A887" s="118"/>
      <c r="G887" s="118"/>
      <c r="J887" s="97"/>
    </row>
    <row r="888" ht="15.75" customHeight="1">
      <c r="A888" s="118"/>
      <c r="G888" s="118"/>
      <c r="J888" s="97"/>
    </row>
    <row r="889" ht="15.75" customHeight="1">
      <c r="A889" s="118"/>
      <c r="G889" s="118"/>
      <c r="J889" s="97"/>
    </row>
    <row r="890" ht="15.75" customHeight="1">
      <c r="A890" s="118"/>
      <c r="G890" s="118"/>
      <c r="J890" s="97"/>
    </row>
    <row r="891" ht="15.75" customHeight="1">
      <c r="A891" s="118"/>
      <c r="G891" s="118"/>
      <c r="J891" s="97"/>
    </row>
    <row r="892" ht="15.75" customHeight="1">
      <c r="A892" s="118"/>
      <c r="G892" s="118"/>
      <c r="J892" s="97"/>
    </row>
    <row r="893" ht="15.75" customHeight="1">
      <c r="A893" s="118"/>
      <c r="G893" s="118"/>
      <c r="J893" s="97"/>
    </row>
    <row r="894" ht="15.75" customHeight="1">
      <c r="A894" s="118"/>
      <c r="G894" s="118"/>
      <c r="J894" s="97"/>
    </row>
    <row r="895" ht="15.75" customHeight="1">
      <c r="A895" s="118"/>
      <c r="G895" s="118"/>
      <c r="J895" s="97"/>
    </row>
    <row r="896" ht="15.75" customHeight="1">
      <c r="A896" s="118"/>
      <c r="G896" s="118"/>
      <c r="J896" s="97"/>
    </row>
    <row r="897" ht="15.75" customHeight="1">
      <c r="A897" s="118"/>
      <c r="G897" s="118"/>
      <c r="J897" s="97"/>
    </row>
    <row r="898" ht="15.75" customHeight="1">
      <c r="A898" s="118"/>
      <c r="G898" s="118"/>
      <c r="J898" s="97"/>
    </row>
    <row r="899" ht="15.75" customHeight="1">
      <c r="A899" s="118"/>
      <c r="G899" s="118"/>
      <c r="J899" s="97"/>
    </row>
    <row r="900" ht="15.75" customHeight="1">
      <c r="A900" s="118"/>
      <c r="G900" s="118"/>
      <c r="J900" s="97"/>
    </row>
    <row r="901" ht="15.75" customHeight="1">
      <c r="A901" s="118"/>
      <c r="G901" s="118"/>
      <c r="J901" s="97"/>
    </row>
    <row r="902" ht="15.75" customHeight="1">
      <c r="A902" s="118"/>
      <c r="G902" s="118"/>
      <c r="J902" s="97"/>
    </row>
    <row r="903" ht="15.75" customHeight="1">
      <c r="A903" s="118"/>
      <c r="G903" s="118"/>
      <c r="J903" s="97"/>
    </row>
    <row r="904" ht="15.75" customHeight="1">
      <c r="A904" s="118"/>
      <c r="G904" s="118"/>
      <c r="J904" s="97"/>
    </row>
    <row r="905" ht="15.75" customHeight="1">
      <c r="A905" s="118"/>
      <c r="G905" s="118"/>
      <c r="J905" s="97"/>
    </row>
    <row r="906" ht="15.75" customHeight="1">
      <c r="A906" s="118"/>
      <c r="G906" s="118"/>
      <c r="J906" s="97"/>
    </row>
    <row r="907" ht="15.75" customHeight="1">
      <c r="A907" s="118"/>
      <c r="G907" s="118"/>
      <c r="J907" s="97"/>
    </row>
    <row r="908" ht="15.75" customHeight="1">
      <c r="A908" s="118"/>
      <c r="G908" s="118"/>
      <c r="J908" s="97"/>
    </row>
    <row r="909" ht="15.75" customHeight="1">
      <c r="A909" s="118"/>
      <c r="G909" s="118"/>
      <c r="J909" s="97"/>
    </row>
    <row r="910" ht="15.75" customHeight="1">
      <c r="A910" s="118"/>
      <c r="G910" s="118"/>
      <c r="J910" s="97"/>
    </row>
    <row r="911" ht="15.75" customHeight="1">
      <c r="A911" s="118"/>
      <c r="G911" s="118"/>
      <c r="J911" s="97"/>
    </row>
    <row r="912" ht="15.75" customHeight="1">
      <c r="A912" s="118"/>
      <c r="G912" s="118"/>
      <c r="J912" s="97"/>
    </row>
    <row r="913" ht="15.75" customHeight="1">
      <c r="A913" s="118"/>
      <c r="G913" s="118"/>
      <c r="J913" s="97"/>
    </row>
    <row r="914" ht="15.75" customHeight="1">
      <c r="A914" s="118"/>
      <c r="G914" s="118"/>
      <c r="J914" s="97"/>
    </row>
    <row r="915" ht="15.75" customHeight="1">
      <c r="A915" s="118"/>
      <c r="G915" s="118"/>
      <c r="J915" s="97"/>
    </row>
    <row r="916" ht="15.75" customHeight="1">
      <c r="A916" s="118"/>
      <c r="G916" s="118"/>
      <c r="J916" s="97"/>
    </row>
    <row r="917" ht="15.75" customHeight="1">
      <c r="A917" s="118"/>
      <c r="G917" s="118"/>
      <c r="J917" s="97"/>
    </row>
    <row r="918" ht="15.75" customHeight="1">
      <c r="A918" s="118"/>
      <c r="G918" s="118"/>
      <c r="J918" s="97"/>
    </row>
    <row r="919" ht="15.75" customHeight="1">
      <c r="A919" s="118"/>
      <c r="G919" s="118"/>
      <c r="J919" s="97"/>
    </row>
    <row r="920" ht="15.75" customHeight="1">
      <c r="A920" s="118"/>
      <c r="G920" s="118"/>
      <c r="J920" s="97"/>
    </row>
    <row r="921" ht="15.75" customHeight="1">
      <c r="A921" s="118"/>
      <c r="G921" s="118"/>
      <c r="J921" s="97"/>
    </row>
    <row r="922" ht="15.75" customHeight="1">
      <c r="A922" s="118"/>
      <c r="G922" s="118"/>
      <c r="J922" s="97"/>
    </row>
    <row r="923" ht="15.75" customHeight="1">
      <c r="A923" s="118"/>
      <c r="G923" s="118"/>
      <c r="J923" s="97"/>
    </row>
    <row r="924" ht="15.75" customHeight="1">
      <c r="A924" s="118"/>
      <c r="G924" s="118"/>
      <c r="J924" s="97"/>
    </row>
    <row r="925" ht="15.75" customHeight="1">
      <c r="A925" s="118"/>
      <c r="G925" s="118"/>
      <c r="J925" s="97"/>
    </row>
    <row r="926" ht="15.75" customHeight="1">
      <c r="A926" s="118"/>
      <c r="G926" s="118"/>
      <c r="J926" s="97"/>
    </row>
    <row r="927" ht="15.75" customHeight="1">
      <c r="A927" s="118"/>
      <c r="G927" s="118"/>
      <c r="J927" s="97"/>
    </row>
    <row r="928" ht="15.75" customHeight="1">
      <c r="A928" s="118"/>
      <c r="G928" s="118"/>
      <c r="J928" s="97"/>
    </row>
    <row r="929" ht="15.75" customHeight="1">
      <c r="A929" s="118"/>
      <c r="G929" s="118"/>
      <c r="J929" s="97"/>
    </row>
    <row r="930" ht="15.75" customHeight="1">
      <c r="A930" s="118"/>
      <c r="G930" s="118"/>
      <c r="J930" s="97"/>
    </row>
    <row r="931" ht="15.75" customHeight="1">
      <c r="A931" s="118"/>
      <c r="G931" s="118"/>
      <c r="J931" s="97"/>
    </row>
    <row r="932" ht="15.75" customHeight="1">
      <c r="A932" s="118"/>
      <c r="G932" s="118"/>
      <c r="J932" s="97"/>
    </row>
    <row r="933" ht="15.75" customHeight="1">
      <c r="A933" s="118"/>
      <c r="G933" s="118"/>
      <c r="J933" s="97"/>
    </row>
    <row r="934" ht="15.75" customHeight="1">
      <c r="A934" s="118"/>
      <c r="G934" s="118"/>
      <c r="J934" s="97"/>
    </row>
    <row r="935" ht="15.75" customHeight="1">
      <c r="A935" s="118"/>
      <c r="G935" s="118"/>
      <c r="J935" s="97"/>
    </row>
    <row r="936" ht="15.75" customHeight="1">
      <c r="A936" s="118"/>
      <c r="G936" s="118"/>
      <c r="J936" s="97"/>
    </row>
    <row r="937" ht="15.75" customHeight="1">
      <c r="A937" s="118"/>
      <c r="G937" s="118"/>
      <c r="J937" s="97"/>
    </row>
    <row r="938" ht="15.75" customHeight="1">
      <c r="A938" s="118"/>
      <c r="G938" s="118"/>
      <c r="J938" s="97"/>
    </row>
    <row r="939" ht="15.75" customHeight="1">
      <c r="A939" s="118"/>
      <c r="G939" s="118"/>
      <c r="J939" s="97"/>
    </row>
    <row r="940" ht="15.75" customHeight="1">
      <c r="A940" s="118"/>
      <c r="G940" s="118"/>
      <c r="J940" s="97"/>
    </row>
    <row r="941" ht="15.75" customHeight="1">
      <c r="A941" s="118"/>
      <c r="G941" s="118"/>
      <c r="J941" s="97"/>
    </row>
    <row r="942" ht="15.75" customHeight="1">
      <c r="A942" s="118"/>
      <c r="G942" s="118"/>
      <c r="J942" s="97"/>
    </row>
    <row r="943" ht="15.75" customHeight="1">
      <c r="A943" s="118"/>
      <c r="G943" s="118"/>
      <c r="J943" s="97"/>
    </row>
    <row r="944" ht="15.75" customHeight="1">
      <c r="A944" s="118"/>
      <c r="G944" s="118"/>
      <c r="J944" s="97"/>
    </row>
    <row r="945" ht="15.75" customHeight="1">
      <c r="A945" s="118"/>
      <c r="G945" s="118"/>
      <c r="J945" s="97"/>
    </row>
    <row r="946" ht="15.75" customHeight="1">
      <c r="A946" s="118"/>
      <c r="G946" s="118"/>
      <c r="J946" s="97"/>
    </row>
    <row r="947" ht="15.75" customHeight="1">
      <c r="A947" s="118"/>
      <c r="G947" s="118"/>
      <c r="J947" s="97"/>
    </row>
    <row r="948" ht="15.75" customHeight="1">
      <c r="A948" s="118"/>
      <c r="G948" s="118"/>
      <c r="J948" s="97"/>
    </row>
    <row r="949" ht="15.75" customHeight="1">
      <c r="A949" s="118"/>
      <c r="G949" s="118"/>
      <c r="J949" s="97"/>
    </row>
    <row r="950" ht="15.75" customHeight="1">
      <c r="A950" s="118"/>
      <c r="G950" s="118"/>
      <c r="J950" s="97"/>
    </row>
    <row r="951" ht="15.75" customHeight="1">
      <c r="A951" s="118"/>
      <c r="G951" s="118"/>
      <c r="J951" s="97"/>
    </row>
    <row r="952" ht="15.75" customHeight="1">
      <c r="A952" s="118"/>
      <c r="G952" s="118"/>
      <c r="J952" s="97"/>
    </row>
    <row r="953" ht="15.75" customHeight="1">
      <c r="A953" s="118"/>
      <c r="G953" s="118"/>
      <c r="J953" s="97"/>
    </row>
    <row r="954" ht="15.75" customHeight="1">
      <c r="A954" s="118"/>
      <c r="G954" s="118"/>
      <c r="J954" s="97"/>
    </row>
    <row r="955" ht="15.75" customHeight="1">
      <c r="A955" s="118"/>
      <c r="G955" s="118"/>
      <c r="J955" s="97"/>
    </row>
    <row r="956" ht="15.75" customHeight="1">
      <c r="A956" s="118"/>
      <c r="G956" s="118"/>
      <c r="J956" s="97"/>
    </row>
    <row r="957" ht="15.75" customHeight="1">
      <c r="A957" s="118"/>
      <c r="G957" s="118"/>
      <c r="J957" s="97"/>
    </row>
    <row r="958" ht="15.75" customHeight="1">
      <c r="A958" s="118"/>
      <c r="G958" s="118"/>
      <c r="J958" s="97"/>
    </row>
    <row r="959" ht="15.75" customHeight="1">
      <c r="A959" s="118"/>
      <c r="G959" s="118"/>
      <c r="J959" s="97"/>
    </row>
    <row r="960" ht="15.75" customHeight="1">
      <c r="A960" s="118"/>
      <c r="G960" s="118"/>
      <c r="J960" s="97"/>
    </row>
    <row r="961" ht="15.75" customHeight="1">
      <c r="A961" s="118"/>
      <c r="G961" s="118"/>
      <c r="J961" s="97"/>
    </row>
    <row r="962" ht="15.75" customHeight="1">
      <c r="A962" s="118"/>
      <c r="G962" s="118"/>
      <c r="J962" s="97"/>
    </row>
    <row r="963" ht="15.75" customHeight="1">
      <c r="A963" s="118"/>
      <c r="G963" s="118"/>
      <c r="J963" s="97"/>
    </row>
    <row r="964" ht="15.75" customHeight="1">
      <c r="A964" s="118"/>
      <c r="G964" s="118"/>
      <c r="J964" s="97"/>
    </row>
    <row r="965" ht="15.75" customHeight="1">
      <c r="A965" s="118"/>
      <c r="G965" s="118"/>
      <c r="J965" s="97"/>
    </row>
    <row r="966" ht="15.75" customHeight="1">
      <c r="A966" s="118"/>
      <c r="G966" s="118"/>
      <c r="J966" s="97"/>
    </row>
    <row r="967" ht="15.75" customHeight="1">
      <c r="A967" s="118"/>
      <c r="G967" s="118"/>
      <c r="J967" s="97"/>
    </row>
    <row r="968" ht="15.75" customHeight="1">
      <c r="A968" s="118"/>
      <c r="G968" s="118"/>
      <c r="J968" s="97"/>
    </row>
    <row r="969" ht="15.75" customHeight="1">
      <c r="A969" s="118"/>
      <c r="G969" s="118"/>
      <c r="J969" s="97"/>
    </row>
    <row r="970" ht="15.75" customHeight="1">
      <c r="A970" s="118"/>
      <c r="G970" s="118"/>
      <c r="J970" s="97"/>
    </row>
    <row r="971" ht="15.75" customHeight="1">
      <c r="A971" s="118"/>
      <c r="G971" s="118"/>
      <c r="J971" s="97"/>
    </row>
    <row r="972" ht="15.75" customHeight="1">
      <c r="A972" s="118"/>
      <c r="G972" s="118"/>
      <c r="J972" s="97"/>
    </row>
    <row r="973" ht="15.75" customHeight="1">
      <c r="A973" s="118"/>
      <c r="G973" s="118"/>
      <c r="J973" s="97"/>
    </row>
    <row r="974" ht="15.75" customHeight="1">
      <c r="A974" s="118"/>
      <c r="G974" s="118"/>
      <c r="J974" s="97"/>
    </row>
    <row r="975" ht="15.75" customHeight="1">
      <c r="A975" s="118"/>
      <c r="G975" s="118"/>
      <c r="J975" s="97"/>
    </row>
    <row r="976" ht="15.75" customHeight="1">
      <c r="A976" s="118"/>
      <c r="G976" s="118"/>
      <c r="J976" s="97"/>
    </row>
    <row r="977" ht="15.75" customHeight="1">
      <c r="A977" s="118"/>
      <c r="G977" s="118"/>
      <c r="J977" s="97"/>
    </row>
    <row r="978" ht="15.75" customHeight="1">
      <c r="A978" s="118"/>
      <c r="G978" s="118"/>
      <c r="J978" s="97"/>
    </row>
    <row r="979" ht="15.75" customHeight="1">
      <c r="A979" s="118"/>
      <c r="G979" s="118"/>
      <c r="J979" s="97"/>
    </row>
    <row r="980" ht="15.75" customHeight="1">
      <c r="A980" s="118"/>
      <c r="G980" s="118"/>
      <c r="J980" s="97"/>
    </row>
    <row r="981" ht="15.75" customHeight="1">
      <c r="A981" s="118"/>
      <c r="G981" s="118"/>
      <c r="J981" s="97"/>
    </row>
    <row r="982" ht="15.75" customHeight="1">
      <c r="A982" s="118"/>
      <c r="G982" s="118"/>
      <c r="J982" s="97"/>
    </row>
    <row r="983" ht="15.75" customHeight="1">
      <c r="A983" s="118"/>
      <c r="G983" s="118"/>
      <c r="J983" s="97"/>
    </row>
    <row r="984" ht="15.75" customHeight="1">
      <c r="A984" s="118"/>
      <c r="G984" s="118"/>
      <c r="J984" s="97"/>
    </row>
    <row r="985" ht="15.75" customHeight="1">
      <c r="A985" s="118"/>
      <c r="G985" s="118"/>
      <c r="J985" s="97"/>
    </row>
    <row r="986" ht="15.75" customHeight="1">
      <c r="A986" s="118"/>
      <c r="G986" s="118"/>
      <c r="J986" s="97"/>
    </row>
    <row r="987" ht="15.75" customHeight="1">
      <c r="A987" s="118"/>
      <c r="G987" s="118"/>
      <c r="J987" s="97"/>
    </row>
    <row r="988" ht="15.75" customHeight="1">
      <c r="A988" s="118"/>
      <c r="G988" s="118"/>
      <c r="J988" s="97"/>
    </row>
  </sheetData>
  <mergeCells count="20">
    <mergeCell ref="B1:J1"/>
    <mergeCell ref="K1:M1"/>
    <mergeCell ref="R2:S2"/>
    <mergeCell ref="R4:S4"/>
    <mergeCell ref="R5:S5"/>
    <mergeCell ref="R6:S6"/>
    <mergeCell ref="R7:S7"/>
    <mergeCell ref="R14:S14"/>
    <mergeCell ref="Q16:S16"/>
    <mergeCell ref="R17:S17"/>
    <mergeCell ref="R18:S18"/>
    <mergeCell ref="R19:S19"/>
    <mergeCell ref="R20:S20"/>
    <mergeCell ref="R8:S8"/>
    <mergeCell ref="P9:Q9"/>
    <mergeCell ref="R9:S9"/>
    <mergeCell ref="R10:S10"/>
    <mergeCell ref="R11:S11"/>
    <mergeCell ref="R12:S12"/>
    <mergeCell ref="R13:S13"/>
  </mergeCell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1.71"/>
    <col customWidth="1" min="2" max="2" width="14.71"/>
    <col customWidth="1" min="3" max="4" width="21.57"/>
    <col customWidth="1" min="5" max="5" width="13.29"/>
    <col customWidth="1" min="6" max="6" width="7.43"/>
    <col customWidth="1" min="7" max="8" width="13.29"/>
    <col customWidth="1" min="9" max="9" width="5.86"/>
    <col customWidth="1" min="10" max="10" width="23.0"/>
    <col customWidth="1" min="11" max="11" width="7.43"/>
    <col customWidth="1" min="12" max="12" width="6.43"/>
    <col customWidth="1" min="13" max="13" width="8.57"/>
    <col customWidth="1" min="14" max="15" width="8.71"/>
    <col customWidth="1" min="16" max="16" width="18.14"/>
    <col customWidth="1" min="17" max="17" width="18.29"/>
    <col customWidth="1" min="18" max="18" width="8.86"/>
    <col customWidth="1" min="19" max="19" width="11.29"/>
    <col customWidth="1" min="20" max="33" width="8.86"/>
  </cols>
  <sheetData>
    <row r="1" ht="43.5" customHeight="1">
      <c r="A1" s="119"/>
      <c r="B1" s="120" t="s">
        <v>136</v>
      </c>
      <c r="C1" s="3"/>
      <c r="D1" s="3"/>
      <c r="E1" s="3"/>
      <c r="F1" s="3"/>
      <c r="G1" s="3"/>
      <c r="H1" s="3"/>
      <c r="I1" s="3"/>
      <c r="J1" s="4"/>
      <c r="K1" s="5" t="s">
        <v>1</v>
      </c>
      <c r="L1" s="3"/>
      <c r="M1" s="4"/>
      <c r="N1" s="6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</row>
    <row r="2" ht="39.0" customHeight="1">
      <c r="A2" s="8" t="s">
        <v>2</v>
      </c>
      <c r="B2" s="11" t="s">
        <v>3</v>
      </c>
      <c r="C2" s="12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3" t="s">
        <v>12</v>
      </c>
      <c r="L2" s="13" t="s">
        <v>13</v>
      </c>
      <c r="M2" s="13" t="s">
        <v>14</v>
      </c>
      <c r="N2" s="14" t="s">
        <v>15</v>
      </c>
      <c r="O2" s="122" t="s">
        <v>16</v>
      </c>
      <c r="P2" s="118"/>
      <c r="Q2" s="123" t="s">
        <v>17</v>
      </c>
      <c r="R2" s="124" t="s">
        <v>18</v>
      </c>
      <c r="S2" s="53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</row>
    <row r="3" outlineLevel="1">
      <c r="A3" s="19" t="b">
        <v>0</v>
      </c>
      <c r="B3" s="125" t="s">
        <v>137</v>
      </c>
      <c r="C3" s="126" t="s">
        <v>20</v>
      </c>
      <c r="D3" s="126" t="s">
        <v>55</v>
      </c>
      <c r="E3" s="126">
        <v>8.0</v>
      </c>
      <c r="F3" s="125">
        <v>2.0</v>
      </c>
      <c r="G3" s="125" t="s">
        <v>30</v>
      </c>
      <c r="H3" s="125" t="s">
        <v>31</v>
      </c>
      <c r="I3" s="125" t="s">
        <v>31</v>
      </c>
      <c r="J3" s="24" t="s">
        <v>138</v>
      </c>
      <c r="K3" s="19" t="b">
        <v>1</v>
      </c>
      <c r="L3" s="19" t="b">
        <v>1</v>
      </c>
      <c r="M3" s="19" t="b">
        <v>1</v>
      </c>
      <c r="N3" s="19" t="b">
        <v>1</v>
      </c>
      <c r="O3" s="19" t="b">
        <v>1</v>
      </c>
      <c r="P3" s="118"/>
      <c r="Q3" s="125" t="s">
        <v>27</v>
      </c>
      <c r="R3" s="127" t="s">
        <v>28</v>
      </c>
      <c r="S3" s="33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</row>
    <row r="4" outlineLevel="1">
      <c r="A4" s="19" t="b">
        <v>0</v>
      </c>
      <c r="B4" s="34" t="s">
        <v>139</v>
      </c>
      <c r="C4" s="35" t="s">
        <v>20</v>
      </c>
      <c r="D4" s="34" t="s">
        <v>21</v>
      </c>
      <c r="E4" s="34">
        <v>3.0</v>
      </c>
      <c r="F4" s="34">
        <v>2.0</v>
      </c>
      <c r="G4" s="34" t="s">
        <v>140</v>
      </c>
      <c r="H4" s="34" t="s">
        <v>23</v>
      </c>
      <c r="I4" s="34" t="s">
        <v>23</v>
      </c>
      <c r="J4" s="128">
        <v>46059.0</v>
      </c>
      <c r="K4" s="19" t="b">
        <v>1</v>
      </c>
      <c r="L4" s="19" t="b">
        <v>1</v>
      </c>
      <c r="M4" s="19" t="b">
        <v>1</v>
      </c>
      <c r="N4" s="19" t="b">
        <v>1</v>
      </c>
      <c r="O4" s="19" t="b">
        <v>1</v>
      </c>
      <c r="P4" s="118"/>
      <c r="Q4" s="34" t="s">
        <v>128</v>
      </c>
      <c r="R4" s="129" t="s">
        <v>141</v>
      </c>
      <c r="S4" s="39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</row>
    <row r="5" outlineLevel="1">
      <c r="A5" s="19" t="b">
        <v>0</v>
      </c>
      <c r="B5" s="35" t="s">
        <v>142</v>
      </c>
      <c r="C5" s="35" t="s">
        <v>20</v>
      </c>
      <c r="D5" s="35" t="s">
        <v>143</v>
      </c>
      <c r="E5" s="35">
        <v>8.0</v>
      </c>
      <c r="F5" s="34">
        <v>2.0</v>
      </c>
      <c r="G5" s="35" t="s">
        <v>30</v>
      </c>
      <c r="H5" s="35" t="s">
        <v>31</v>
      </c>
      <c r="I5" s="34" t="s">
        <v>23</v>
      </c>
      <c r="J5" s="128">
        <v>46072.0</v>
      </c>
      <c r="K5" s="19" t="b">
        <v>1</v>
      </c>
      <c r="L5" s="19" t="b">
        <v>1</v>
      </c>
      <c r="M5" s="19" t="b">
        <v>1</v>
      </c>
      <c r="N5" s="19" t="b">
        <v>1</v>
      </c>
      <c r="O5" s="19" t="b">
        <v>1</v>
      </c>
      <c r="P5" s="130" t="s">
        <v>51</v>
      </c>
      <c r="Q5" s="34" t="s">
        <v>34</v>
      </c>
      <c r="R5" s="129" t="s">
        <v>35</v>
      </c>
      <c r="S5" s="39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</row>
    <row r="6" outlineLevel="1">
      <c r="A6" s="19" t="b">
        <v>1</v>
      </c>
      <c r="B6" s="34" t="s">
        <v>144</v>
      </c>
      <c r="C6" s="35" t="s">
        <v>26</v>
      </c>
      <c r="D6" s="34" t="s">
        <v>21</v>
      </c>
      <c r="E6" s="35">
        <v>1.5</v>
      </c>
      <c r="F6" s="34">
        <v>2.0</v>
      </c>
      <c r="G6" s="35" t="s">
        <v>145</v>
      </c>
      <c r="H6" s="34" t="s">
        <v>23</v>
      </c>
      <c r="I6" s="34" t="s">
        <v>23</v>
      </c>
      <c r="J6" s="131">
        <v>46066.0</v>
      </c>
      <c r="K6" s="19" t="b">
        <v>1</v>
      </c>
      <c r="L6" s="19" t="b">
        <v>1</v>
      </c>
      <c r="M6" s="19" t="b">
        <v>1</v>
      </c>
      <c r="N6" s="19" t="b">
        <v>1</v>
      </c>
      <c r="O6" s="19" t="b">
        <v>1</v>
      </c>
      <c r="P6" s="118"/>
      <c r="Q6" s="34" t="s">
        <v>39</v>
      </c>
      <c r="R6" s="129" t="s">
        <v>40</v>
      </c>
      <c r="S6" s="39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</row>
    <row r="7" outlineLevel="1">
      <c r="A7" s="19" t="b">
        <v>0</v>
      </c>
      <c r="B7" s="35" t="s">
        <v>146</v>
      </c>
      <c r="C7" s="35" t="s">
        <v>20</v>
      </c>
      <c r="D7" s="35" t="s">
        <v>147</v>
      </c>
      <c r="E7" s="35">
        <v>20.0</v>
      </c>
      <c r="F7" s="35">
        <v>2.0</v>
      </c>
      <c r="G7" s="35" t="s">
        <v>37</v>
      </c>
      <c r="H7" s="35" t="s">
        <v>31</v>
      </c>
      <c r="I7" s="35" t="s">
        <v>31</v>
      </c>
      <c r="J7" s="40" t="s">
        <v>148</v>
      </c>
      <c r="K7" s="19" t="b">
        <v>1</v>
      </c>
      <c r="L7" s="19" t="b">
        <v>1</v>
      </c>
      <c r="M7" s="19" t="b">
        <v>1</v>
      </c>
      <c r="N7" s="19" t="b">
        <v>1</v>
      </c>
      <c r="O7" s="19" t="b">
        <v>0</v>
      </c>
      <c r="P7" s="118"/>
      <c r="Q7" s="34" t="s">
        <v>42</v>
      </c>
      <c r="R7" s="129" t="s">
        <v>43</v>
      </c>
      <c r="S7" s="39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</row>
    <row r="8" outlineLevel="1">
      <c r="A8" s="19" t="b">
        <v>1</v>
      </c>
      <c r="B8" s="34" t="s">
        <v>149</v>
      </c>
      <c r="C8" s="35" t="s">
        <v>20</v>
      </c>
      <c r="D8" s="34" t="s">
        <v>21</v>
      </c>
      <c r="E8" s="34">
        <v>3.0</v>
      </c>
      <c r="F8" s="34">
        <v>2.0</v>
      </c>
      <c r="G8" s="35" t="s">
        <v>150</v>
      </c>
      <c r="H8" s="34" t="s">
        <v>23</v>
      </c>
      <c r="I8" s="34" t="s">
        <v>23</v>
      </c>
      <c r="J8" s="131">
        <v>46066.0</v>
      </c>
      <c r="K8" s="19" t="b">
        <v>1</v>
      </c>
      <c r="L8" s="19" t="b">
        <v>1</v>
      </c>
      <c r="M8" s="19" t="b">
        <v>1</v>
      </c>
      <c r="N8" s="19" t="b">
        <v>1</v>
      </c>
      <c r="O8" s="19" t="b">
        <v>1</v>
      </c>
      <c r="P8" s="118"/>
      <c r="Q8" s="50" t="s">
        <v>47</v>
      </c>
      <c r="R8" s="51" t="s">
        <v>48</v>
      </c>
      <c r="S8" s="39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</row>
    <row r="9" ht="30.0" customHeight="1" outlineLevel="1">
      <c r="A9" s="19" t="b">
        <v>0</v>
      </c>
      <c r="B9" s="34" t="s">
        <v>151</v>
      </c>
      <c r="C9" s="35" t="s">
        <v>20</v>
      </c>
      <c r="D9" s="34" t="s">
        <v>21</v>
      </c>
      <c r="E9" s="34">
        <v>3.5</v>
      </c>
      <c r="F9" s="34">
        <v>2.0</v>
      </c>
      <c r="G9" s="34" t="s">
        <v>45</v>
      </c>
      <c r="H9" s="34" t="s">
        <v>23</v>
      </c>
      <c r="I9" s="34" t="s">
        <v>31</v>
      </c>
      <c r="J9" s="40" t="s">
        <v>152</v>
      </c>
      <c r="K9" s="19" t="b">
        <v>1</v>
      </c>
      <c r="L9" s="19" t="b">
        <v>1</v>
      </c>
      <c r="M9" s="19" t="b">
        <v>1</v>
      </c>
      <c r="N9" s="19" t="b">
        <v>1</v>
      </c>
      <c r="O9" s="19" t="b">
        <v>1</v>
      </c>
      <c r="P9" s="118"/>
      <c r="Q9" s="132"/>
      <c r="R9" s="132"/>
      <c r="S9" s="132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</row>
    <row r="10" ht="28.5" customHeight="1" outlineLevel="1">
      <c r="A10" s="19" t="b">
        <v>0</v>
      </c>
      <c r="B10" s="34" t="s">
        <v>153</v>
      </c>
      <c r="C10" s="35" t="s">
        <v>20</v>
      </c>
      <c r="D10" s="34" t="s">
        <v>21</v>
      </c>
      <c r="E10" s="34">
        <v>1.0</v>
      </c>
      <c r="F10" s="34">
        <v>2.0</v>
      </c>
      <c r="G10" s="34" t="s">
        <v>27</v>
      </c>
      <c r="H10" s="34" t="s">
        <v>23</v>
      </c>
      <c r="I10" s="34" t="s">
        <v>23</v>
      </c>
      <c r="J10" s="128">
        <v>46056.0</v>
      </c>
      <c r="K10" s="19" t="b">
        <v>1</v>
      </c>
      <c r="L10" s="19" t="b">
        <v>1</v>
      </c>
      <c r="M10" s="19" t="b">
        <v>1</v>
      </c>
      <c r="N10" s="133" t="b">
        <v>1</v>
      </c>
      <c r="O10" s="133" t="b">
        <v>1</v>
      </c>
      <c r="P10" s="118"/>
      <c r="Q10" s="16" t="s">
        <v>154</v>
      </c>
      <c r="R10" s="17" t="s">
        <v>52</v>
      </c>
      <c r="S10" s="53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</row>
    <row r="11" ht="30.75" customHeight="1" outlineLevel="1">
      <c r="A11" s="19" t="b">
        <v>0</v>
      </c>
      <c r="B11" s="34" t="s">
        <v>155</v>
      </c>
      <c r="C11" s="35" t="s">
        <v>20</v>
      </c>
      <c r="D11" s="34" t="s">
        <v>156</v>
      </c>
      <c r="E11" s="34">
        <v>1.0</v>
      </c>
      <c r="F11" s="34">
        <v>1.0</v>
      </c>
      <c r="G11" s="34" t="s">
        <v>27</v>
      </c>
      <c r="H11" s="34" t="s">
        <v>31</v>
      </c>
      <c r="I11" s="34" t="s">
        <v>31</v>
      </c>
      <c r="J11" s="134">
        <v>45716.0</v>
      </c>
      <c r="K11" s="19" t="b">
        <v>0</v>
      </c>
      <c r="L11" s="19" t="b">
        <v>0</v>
      </c>
      <c r="M11" s="19" t="b">
        <v>0</v>
      </c>
      <c r="N11" s="19" t="b">
        <v>0</v>
      </c>
      <c r="O11" s="19" t="b">
        <v>0</v>
      </c>
      <c r="P11" s="118"/>
      <c r="Q11" s="135" t="str">
        <f t="shared" ref="Q11:R11" si="1">#REF!</f>
        <v>#REF!</v>
      </c>
      <c r="R11" s="75" t="str">
        <f t="shared" si="1"/>
        <v>#REF!</v>
      </c>
      <c r="S11" s="39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</row>
    <row r="12" ht="27.75" customHeight="1" outlineLevel="1">
      <c r="A12" s="19" t="b">
        <v>0</v>
      </c>
      <c r="B12" s="34" t="s">
        <v>157</v>
      </c>
      <c r="C12" s="35" t="s">
        <v>20</v>
      </c>
      <c r="D12" s="34" t="s">
        <v>21</v>
      </c>
      <c r="E12" s="34">
        <v>8.0</v>
      </c>
      <c r="F12" s="34">
        <v>2.0</v>
      </c>
      <c r="G12" s="34" t="s">
        <v>45</v>
      </c>
      <c r="H12" s="34" t="s">
        <v>23</v>
      </c>
      <c r="I12" s="34" t="s">
        <v>31</v>
      </c>
      <c r="J12" s="136">
        <v>46058.0</v>
      </c>
      <c r="K12" s="19" t="b">
        <v>1</v>
      </c>
      <c r="L12" s="19" t="b">
        <v>1</v>
      </c>
      <c r="M12" s="19" t="b">
        <v>1</v>
      </c>
      <c r="N12" s="19" t="b">
        <v>1</v>
      </c>
      <c r="O12" s="19" t="b">
        <v>0</v>
      </c>
      <c r="P12" s="118"/>
      <c r="Q12" s="135" t="str">
        <f>JAN!Q11</f>
        <v>CY</v>
      </c>
      <c r="R12" s="137" t="str">
        <f>JAN!R11</f>
        <v>FA, WA, EX, EM</v>
      </c>
      <c r="S12" s="39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</row>
    <row r="13" outlineLevel="1">
      <c r="A13" s="19" t="b">
        <v>1</v>
      </c>
      <c r="B13" s="34" t="s">
        <v>158</v>
      </c>
      <c r="C13" s="35" t="s">
        <v>159</v>
      </c>
      <c r="D13" s="34" t="s">
        <v>21</v>
      </c>
      <c r="E13" s="34">
        <v>24.0</v>
      </c>
      <c r="F13" s="34">
        <v>2.0</v>
      </c>
      <c r="G13" s="34" t="s">
        <v>58</v>
      </c>
      <c r="H13" s="34" t="s">
        <v>23</v>
      </c>
      <c r="I13" s="34" t="s">
        <v>31</v>
      </c>
      <c r="J13" s="40" t="s">
        <v>160</v>
      </c>
      <c r="K13" s="19" t="b">
        <v>1</v>
      </c>
      <c r="L13" s="19" t="b">
        <v>1</v>
      </c>
      <c r="M13" s="19" t="b">
        <v>1</v>
      </c>
      <c r="N13" s="19" t="b">
        <v>1</v>
      </c>
      <c r="O13" s="19" t="b">
        <v>0</v>
      </c>
      <c r="P13" s="118"/>
      <c r="Q13" s="135" t="str">
        <f>JAN!Q12</f>
        <v>MV</v>
      </c>
      <c r="R13" s="61" t="str">
        <f>JAN!R12</f>
        <v>FA, WA, EX, EM, BF &amp; FITTER</v>
      </c>
      <c r="S13" s="33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</row>
    <row r="14" outlineLevel="1">
      <c r="A14" s="19" t="b">
        <v>1</v>
      </c>
      <c r="B14" s="34" t="s">
        <v>161</v>
      </c>
      <c r="C14" s="35" t="s">
        <v>20</v>
      </c>
      <c r="D14" s="35" t="s">
        <v>162</v>
      </c>
      <c r="E14" s="35">
        <v>38.0</v>
      </c>
      <c r="F14" s="34">
        <v>3.0</v>
      </c>
      <c r="G14" s="35" t="s">
        <v>163</v>
      </c>
      <c r="H14" s="34" t="s">
        <v>31</v>
      </c>
      <c r="I14" s="34" t="s">
        <v>31</v>
      </c>
      <c r="J14" s="40" t="s">
        <v>164</v>
      </c>
      <c r="K14" s="19" t="b">
        <v>1</v>
      </c>
      <c r="L14" s="19" t="b">
        <v>1</v>
      </c>
      <c r="M14" s="19" t="b">
        <v>1</v>
      </c>
      <c r="N14" s="19" t="b">
        <v>1</v>
      </c>
      <c r="O14" s="19" t="b">
        <v>1</v>
      </c>
      <c r="P14" s="118"/>
      <c r="Q14" s="50" t="str">
        <f t="shared" ref="Q14:R14" si="2">#REF!</f>
        <v>#REF!</v>
      </c>
      <c r="R14" s="138" t="str">
        <f t="shared" si="2"/>
        <v>#REF!</v>
      </c>
      <c r="S14" s="39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</row>
    <row r="15" ht="41.25" customHeight="1" outlineLevel="1">
      <c r="A15" s="19" t="b">
        <v>1</v>
      </c>
      <c r="B15" s="34" t="s">
        <v>165</v>
      </c>
      <c r="C15" s="35" t="s">
        <v>107</v>
      </c>
      <c r="D15" s="34" t="s">
        <v>21</v>
      </c>
      <c r="E15" s="34">
        <v>6.5</v>
      </c>
      <c r="F15" s="34">
        <v>2.0</v>
      </c>
      <c r="G15" s="34" t="s">
        <v>58</v>
      </c>
      <c r="H15" s="34" t="s">
        <v>23</v>
      </c>
      <c r="I15" s="34" t="s">
        <v>23</v>
      </c>
      <c r="J15" s="128">
        <v>46064.0</v>
      </c>
      <c r="K15" s="19" t="b">
        <v>1</v>
      </c>
      <c r="L15" s="19" t="b">
        <v>1</v>
      </c>
      <c r="M15" s="19" t="b">
        <v>1</v>
      </c>
      <c r="N15" s="19" t="b">
        <v>1</v>
      </c>
      <c r="O15" s="19" t="b">
        <v>1</v>
      </c>
      <c r="P15" s="118"/>
      <c r="Q15" s="135" t="str">
        <f t="shared" ref="Q15:R15" si="3">#REF!</f>
        <v>#REF!</v>
      </c>
      <c r="R15" s="137" t="str">
        <f t="shared" si="3"/>
        <v>#REF!</v>
      </c>
      <c r="S15" s="39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</row>
    <row r="16" outlineLevel="1">
      <c r="A16" s="19" t="b">
        <v>0</v>
      </c>
      <c r="B16" s="35" t="s">
        <v>166</v>
      </c>
      <c r="C16" s="35" t="s">
        <v>167</v>
      </c>
      <c r="D16" s="35" t="s">
        <v>21</v>
      </c>
      <c r="E16" s="35">
        <v>24.0</v>
      </c>
      <c r="F16" s="35">
        <v>2.0</v>
      </c>
      <c r="G16" s="35" t="s">
        <v>45</v>
      </c>
      <c r="H16" s="35" t="s">
        <v>31</v>
      </c>
      <c r="I16" s="35" t="s">
        <v>31</v>
      </c>
      <c r="J16" s="40" t="s">
        <v>168</v>
      </c>
      <c r="K16" s="19" t="b">
        <v>1</v>
      </c>
      <c r="L16" s="19" t="b">
        <v>1</v>
      </c>
      <c r="M16" s="19" t="b">
        <v>1</v>
      </c>
      <c r="N16" s="19" t="b">
        <v>1</v>
      </c>
      <c r="O16" s="19" t="b">
        <v>1</v>
      </c>
      <c r="P16" s="118"/>
      <c r="Q16" s="135" t="str">
        <f>JAN!Q13</f>
        <v>GW</v>
      </c>
      <c r="R16" s="137" t="str">
        <f>JAN!R13</f>
        <v>FA, WA, EX, EM</v>
      </c>
      <c r="S16" s="39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</row>
    <row r="17" outlineLevel="1">
      <c r="A17" s="19" t="b">
        <v>0</v>
      </c>
      <c r="B17" s="34" t="s">
        <v>169</v>
      </c>
      <c r="C17" s="35" t="s">
        <v>26</v>
      </c>
      <c r="D17" s="34" t="s">
        <v>170</v>
      </c>
      <c r="E17" s="34"/>
      <c r="F17" s="34"/>
      <c r="G17" s="34"/>
      <c r="H17" s="34" t="s">
        <v>31</v>
      </c>
      <c r="I17" s="34" t="s">
        <v>23</v>
      </c>
      <c r="J17" s="139" t="s">
        <v>171</v>
      </c>
      <c r="K17" s="19" t="b">
        <v>0</v>
      </c>
      <c r="L17" s="19" t="b">
        <v>0</v>
      </c>
      <c r="M17" s="19" t="b">
        <v>0</v>
      </c>
      <c r="N17" s="19" t="b">
        <v>0</v>
      </c>
      <c r="O17" s="19" t="b">
        <v>0</v>
      </c>
      <c r="P17" s="130" t="s">
        <v>172</v>
      </c>
      <c r="Q17" s="135" t="str">
        <f>JAN!Q14</f>
        <v>TS</v>
      </c>
      <c r="R17" s="137" t="str">
        <f>JAN!R14</f>
        <v>EX, EM, BF</v>
      </c>
      <c r="S17" s="39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</row>
    <row r="18" outlineLevel="1">
      <c r="A18" s="19" t="b">
        <v>0</v>
      </c>
      <c r="B18" s="34" t="s">
        <v>173</v>
      </c>
      <c r="C18" s="35" t="s">
        <v>77</v>
      </c>
      <c r="D18" s="35" t="s">
        <v>21</v>
      </c>
      <c r="E18" s="35">
        <v>12.0</v>
      </c>
      <c r="F18" s="34">
        <v>2.0</v>
      </c>
      <c r="G18" s="34" t="s">
        <v>113</v>
      </c>
      <c r="H18" s="34" t="s">
        <v>23</v>
      </c>
      <c r="I18" s="34" t="s">
        <v>31</v>
      </c>
      <c r="J18" s="105" t="s">
        <v>174</v>
      </c>
      <c r="K18" s="19" t="b">
        <v>0</v>
      </c>
      <c r="L18" s="19" t="b">
        <v>0</v>
      </c>
      <c r="M18" s="19" t="b">
        <v>0</v>
      </c>
      <c r="N18" s="19" t="b">
        <v>0</v>
      </c>
      <c r="O18" s="19" t="b">
        <v>0</v>
      </c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</row>
    <row r="19" outlineLevel="1">
      <c r="A19" s="19" t="b">
        <v>0</v>
      </c>
      <c r="B19" s="34" t="s">
        <v>131</v>
      </c>
      <c r="C19" s="35" t="s">
        <v>175</v>
      </c>
      <c r="D19" s="34" t="s">
        <v>21</v>
      </c>
      <c r="E19" s="34">
        <v>3.0</v>
      </c>
      <c r="F19" s="34">
        <v>1.0</v>
      </c>
      <c r="G19" s="34" t="s">
        <v>50</v>
      </c>
      <c r="H19" s="34" t="s">
        <v>23</v>
      </c>
      <c r="I19" s="34" t="s">
        <v>23</v>
      </c>
      <c r="J19" s="128">
        <v>46030.0</v>
      </c>
      <c r="K19" s="19" t="b">
        <v>1</v>
      </c>
      <c r="L19" s="19" t="b">
        <v>0</v>
      </c>
      <c r="M19" s="19" t="b">
        <v>0</v>
      </c>
      <c r="N19" s="19" t="b">
        <v>0</v>
      </c>
      <c r="O19" s="19" t="b">
        <v>0</v>
      </c>
      <c r="P19" s="130" t="s">
        <v>176</v>
      </c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</row>
    <row r="20" outlineLevel="1">
      <c r="A20" s="19" t="b">
        <v>0</v>
      </c>
      <c r="B20" s="34" t="s">
        <v>177</v>
      </c>
      <c r="C20" s="35" t="s">
        <v>82</v>
      </c>
      <c r="D20" s="34" t="s">
        <v>21</v>
      </c>
      <c r="E20" s="34">
        <v>1.0</v>
      </c>
      <c r="F20" s="34">
        <v>1.0</v>
      </c>
      <c r="G20" s="34" t="s">
        <v>22</v>
      </c>
      <c r="H20" s="34" t="s">
        <v>23</v>
      </c>
      <c r="I20" s="34" t="s">
        <v>23</v>
      </c>
      <c r="J20" s="40" t="s">
        <v>178</v>
      </c>
      <c r="K20" s="19" t="b">
        <v>0</v>
      </c>
      <c r="L20" s="19" t="b">
        <v>0</v>
      </c>
      <c r="M20" s="19" t="b">
        <v>0</v>
      </c>
      <c r="N20" s="19" t="b">
        <v>0</v>
      </c>
      <c r="O20" s="19" t="b">
        <v>0</v>
      </c>
      <c r="P20" s="130" t="s">
        <v>176</v>
      </c>
      <c r="Q20" s="77" t="s">
        <v>79</v>
      </c>
      <c r="R20" s="78"/>
      <c r="S20" s="79"/>
      <c r="U20" s="80" t="s">
        <v>80</v>
      </c>
      <c r="V20" s="73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</row>
    <row r="21" ht="33.75" customHeight="1" outlineLevel="1">
      <c r="A21" s="19" t="b">
        <v>0</v>
      </c>
      <c r="B21" s="34" t="s">
        <v>179</v>
      </c>
      <c r="C21" s="35" t="s">
        <v>20</v>
      </c>
      <c r="D21" s="34" t="s">
        <v>21</v>
      </c>
      <c r="E21" s="35">
        <v>8.0</v>
      </c>
      <c r="F21" s="34">
        <v>2.0</v>
      </c>
      <c r="G21" s="34" t="s">
        <v>45</v>
      </c>
      <c r="H21" s="34" t="s">
        <v>23</v>
      </c>
      <c r="I21" s="34" t="s">
        <v>31</v>
      </c>
      <c r="J21" s="40" t="s">
        <v>180</v>
      </c>
      <c r="K21" s="19" t="b">
        <v>1</v>
      </c>
      <c r="L21" s="19" t="b">
        <v>1</v>
      </c>
      <c r="M21" s="19" t="b">
        <v>1</v>
      </c>
      <c r="N21" s="19" t="b">
        <v>1</v>
      </c>
      <c r="O21" s="19" t="b">
        <v>0</v>
      </c>
      <c r="P21" s="118"/>
      <c r="Q21" s="81" t="s">
        <v>83</v>
      </c>
      <c r="R21" s="82" t="s">
        <v>84</v>
      </c>
      <c r="S21" s="83"/>
      <c r="T21" s="84" t="s">
        <v>85</v>
      </c>
      <c r="U21" s="85" t="s">
        <v>86</v>
      </c>
      <c r="V21" s="73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</row>
    <row r="22" ht="1.5" customHeight="1" outlineLevel="1">
      <c r="A22" s="19" t="b">
        <v>0</v>
      </c>
      <c r="B22" s="140" t="s">
        <v>179</v>
      </c>
      <c r="C22" s="86" t="s">
        <v>20</v>
      </c>
      <c r="D22" s="140" t="s">
        <v>21</v>
      </c>
      <c r="E22" s="140">
        <v>4.5</v>
      </c>
      <c r="F22" s="140">
        <v>2.0</v>
      </c>
      <c r="G22" s="140" t="s">
        <v>45</v>
      </c>
      <c r="H22" s="140" t="s">
        <v>23</v>
      </c>
      <c r="I22" s="140" t="s">
        <v>31</v>
      </c>
      <c r="J22" s="105" t="s">
        <v>181</v>
      </c>
      <c r="K22" s="19" t="b">
        <v>0</v>
      </c>
      <c r="L22" s="19" t="b">
        <v>0</v>
      </c>
      <c r="M22" s="19" t="b">
        <v>0</v>
      </c>
      <c r="N22" s="59" t="b">
        <v>0</v>
      </c>
      <c r="O22" s="59" t="b">
        <v>0</v>
      </c>
      <c r="P22" s="118"/>
      <c r="Q22" s="89" t="s">
        <v>90</v>
      </c>
      <c r="R22" s="82" t="s">
        <v>91</v>
      </c>
      <c r="S22" s="83"/>
      <c r="T22" s="84" t="s">
        <v>85</v>
      </c>
      <c r="U22" s="85" t="s">
        <v>86</v>
      </c>
      <c r="V22" s="73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</row>
    <row r="23" ht="28.5" customHeight="1" outlineLevel="1">
      <c r="A23" s="19" t="b">
        <v>0</v>
      </c>
      <c r="B23" s="34" t="s">
        <v>182</v>
      </c>
      <c r="C23" s="35" t="s">
        <v>20</v>
      </c>
      <c r="D23" s="34" t="s">
        <v>21</v>
      </c>
      <c r="E23" s="34">
        <v>1.0</v>
      </c>
      <c r="F23" s="34">
        <v>1.0</v>
      </c>
      <c r="G23" s="34" t="s">
        <v>22</v>
      </c>
      <c r="H23" s="34" t="s">
        <v>23</v>
      </c>
      <c r="I23" s="34" t="s">
        <v>23</v>
      </c>
      <c r="J23" s="105" t="s">
        <v>183</v>
      </c>
      <c r="K23" s="19" t="b">
        <v>0</v>
      </c>
      <c r="L23" s="19" t="b">
        <v>0</v>
      </c>
      <c r="M23" s="19" t="b">
        <v>0</v>
      </c>
      <c r="N23" s="19" t="b">
        <v>0</v>
      </c>
      <c r="O23" s="19" t="b">
        <v>0</v>
      </c>
      <c r="P23" s="130" t="s">
        <v>184</v>
      </c>
      <c r="Q23" s="91" t="s">
        <v>92</v>
      </c>
      <c r="R23" s="82" t="s">
        <v>93</v>
      </c>
      <c r="S23" s="83"/>
      <c r="T23" s="84" t="s">
        <v>85</v>
      </c>
      <c r="U23" s="85" t="s">
        <v>94</v>
      </c>
      <c r="V23" s="73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</row>
    <row r="24" ht="15.75" customHeight="1" outlineLevel="1">
      <c r="A24" s="19" t="b">
        <v>0</v>
      </c>
      <c r="B24" s="27" t="s">
        <v>121</v>
      </c>
      <c r="C24" s="28" t="s">
        <v>122</v>
      </c>
      <c r="D24" s="27" t="s">
        <v>123</v>
      </c>
      <c r="E24" s="27">
        <v>2.0</v>
      </c>
      <c r="F24" s="27">
        <v>1.0</v>
      </c>
      <c r="G24" s="34" t="s">
        <v>58</v>
      </c>
      <c r="H24" s="27" t="s">
        <v>23</v>
      </c>
      <c r="I24" s="27" t="s">
        <v>31</v>
      </c>
      <c r="J24" s="40" t="s">
        <v>185</v>
      </c>
      <c r="K24" s="19" t="b">
        <v>1</v>
      </c>
      <c r="L24" s="19" t="b">
        <v>0</v>
      </c>
      <c r="M24" s="19" t="b">
        <v>0</v>
      </c>
      <c r="N24" s="19" t="b">
        <v>0</v>
      </c>
      <c r="O24" s="19" t="b">
        <v>0</v>
      </c>
      <c r="P24" s="118"/>
      <c r="Q24" s="93" t="s">
        <v>97</v>
      </c>
      <c r="R24" s="94" t="s">
        <v>98</v>
      </c>
      <c r="S24" s="95"/>
      <c r="T24" s="84" t="s">
        <v>85</v>
      </c>
      <c r="U24" s="85" t="s">
        <v>94</v>
      </c>
      <c r="V24" s="73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</row>
    <row r="25" ht="15.75" customHeight="1" outlineLevel="1">
      <c r="A25" s="19" t="b">
        <v>1</v>
      </c>
      <c r="B25" s="34" t="s">
        <v>186</v>
      </c>
      <c r="C25" s="35" t="s">
        <v>20</v>
      </c>
      <c r="D25" s="34" t="s">
        <v>21</v>
      </c>
      <c r="E25" s="34">
        <v>6.0</v>
      </c>
      <c r="F25" s="34">
        <v>2.0</v>
      </c>
      <c r="G25" s="34" t="s">
        <v>45</v>
      </c>
      <c r="H25" s="34" t="s">
        <v>23</v>
      </c>
      <c r="I25" s="34" t="s">
        <v>23</v>
      </c>
      <c r="J25" s="40" t="s">
        <v>187</v>
      </c>
      <c r="K25" s="19" t="b">
        <v>1</v>
      </c>
      <c r="L25" s="19" t="b">
        <v>0</v>
      </c>
      <c r="M25" s="19" t="b">
        <v>1</v>
      </c>
      <c r="N25" s="19" t="b">
        <v>1</v>
      </c>
      <c r="O25" s="19" t="b">
        <v>0</v>
      </c>
      <c r="P25" s="118"/>
      <c r="Q25" s="141" t="s">
        <v>188</v>
      </c>
      <c r="R25" s="142" t="str">
        <f>(E3*F3)+(E4*F4)+(E5*F5)+(E6*F6)+(E7*F7)+(E8*F8)+(#REF!*#REF!)+(DEC!E10*DEC!F10)+(E9*F9)+(E10*F10)+(#REF!*#REF!)+(E11*F11)+(E12*F12)+(E13*F13)+(E14*F14)+(E15*F15)+(E16*F16)+(E17*F17)+(E18*F18)+(E19*F19)+(E20*F20)+(E21*F21)+(E22*F22)+(E23*F23)+(E24*F24)+(#REF!*#REF!)+(E25*F25)+(E26*F26)+(E27*F27)+(E28*F28)+(E29*F29)+(E31*F31)+(E32*F32)+(E33*F33)+(E34*F34)+(E35*F35)+(E36*F36)+(E37*F37)+(E44*F39)+(E40*F40)+(E41*F41)+(E42*F42)+(E43*F43)+(#REF!*F44)+(E45*F45)+(E46*F46)+(E47*F47)+(E48*F48)+(E49*F49)+(E50*F50)+(E51*F51)+(E52*F52)+(E53*F53)+(E54*F54)+(E55*F55)+(E56*F56)+(E57*F57)+(E58*F58)+(E59*F59)+(E60*F60)+(E61*F61)+(E62*F62)+(E63*F63)+(E64*F64)+(E65*F65)+(E66*F66)+(E67*F67)+(E68*F68)+(E69*F69)+(E70*F70)+(E71*F71)+(E72*F72)+(E73*F73)+(E74*F74)+(E75*F75)+(E76*F76)+(E77*F77)+(E78*F78)+(E79*F79)+(E80*F80)+(E81*F81)+(E82*F82)+(E83*F83)+(E84*F84)+(E85*F85)+(E86*F86)+(E87*F87)+(E88*F88)+(E89*F89)+(E90*F90)+(E91*F91)+(E92*F92)+(E93*F93)+(E94*F94)+(E95*F95)+(E96*F96)+(E97*F97)+(E98*F98)+(E99*F99)+(E100*F100)</f>
        <v>#REF!</v>
      </c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</row>
    <row r="26" ht="15.75" customHeight="1" outlineLevel="1">
      <c r="A26" s="19" t="b">
        <v>1</v>
      </c>
      <c r="B26" s="34" t="s">
        <v>189</v>
      </c>
      <c r="C26" s="35" t="s">
        <v>20</v>
      </c>
      <c r="D26" s="34" t="s">
        <v>21</v>
      </c>
      <c r="E26" s="34">
        <v>3.5</v>
      </c>
      <c r="F26" s="34">
        <v>2.0</v>
      </c>
      <c r="G26" s="34" t="s">
        <v>113</v>
      </c>
      <c r="H26" s="34" t="s">
        <v>23</v>
      </c>
      <c r="I26" s="34" t="s">
        <v>23</v>
      </c>
      <c r="J26" s="131">
        <v>46066.0</v>
      </c>
      <c r="K26" s="19" t="b">
        <v>1</v>
      </c>
      <c r="L26" s="19" t="b">
        <v>0</v>
      </c>
      <c r="M26" s="19" t="b">
        <v>0</v>
      </c>
      <c r="N26" s="19" t="b">
        <v>0</v>
      </c>
      <c r="O26" s="19" t="b">
        <v>0</v>
      </c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</row>
    <row r="27" ht="30.75" customHeight="1" outlineLevel="1">
      <c r="A27" s="19" t="b">
        <v>1</v>
      </c>
      <c r="B27" s="34" t="s">
        <v>190</v>
      </c>
      <c r="C27" s="35" t="s">
        <v>20</v>
      </c>
      <c r="D27" s="34" t="s">
        <v>21</v>
      </c>
      <c r="E27" s="34">
        <v>2.5</v>
      </c>
      <c r="F27" s="34">
        <v>2.0</v>
      </c>
      <c r="G27" s="34" t="s">
        <v>113</v>
      </c>
      <c r="H27" s="34" t="s">
        <v>23</v>
      </c>
      <c r="I27" s="34" t="s">
        <v>23</v>
      </c>
      <c r="J27" s="40" t="s">
        <v>191</v>
      </c>
      <c r="K27" s="19" t="b">
        <v>1</v>
      </c>
      <c r="L27" s="19" t="b">
        <v>1</v>
      </c>
      <c r="M27" s="19" t="b">
        <v>1</v>
      </c>
      <c r="N27" s="19" t="b">
        <v>1</v>
      </c>
      <c r="O27" s="19" t="b">
        <v>1</v>
      </c>
      <c r="P27" s="118"/>
      <c r="Q27" s="143" t="s">
        <v>192</v>
      </c>
      <c r="R27" s="144"/>
      <c r="S27" s="18"/>
      <c r="T27" s="103">
        <v>640.0</v>
      </c>
      <c r="U27" s="85"/>
      <c r="V27" s="85" t="s">
        <v>193</v>
      </c>
      <c r="AF27" s="118"/>
      <c r="AG27" s="118"/>
    </row>
    <row r="28" ht="15.75" customHeight="1" outlineLevel="1">
      <c r="A28" s="106" t="b">
        <v>0</v>
      </c>
      <c r="B28" s="140" t="s">
        <v>194</v>
      </c>
      <c r="C28" s="86" t="s">
        <v>195</v>
      </c>
      <c r="D28" s="140" t="s">
        <v>196</v>
      </c>
      <c r="E28" s="140">
        <v>16.0</v>
      </c>
      <c r="F28" s="140">
        <v>2.0</v>
      </c>
      <c r="G28" s="140" t="s">
        <v>58</v>
      </c>
      <c r="H28" s="140" t="s">
        <v>31</v>
      </c>
      <c r="I28" s="140" t="s">
        <v>31</v>
      </c>
      <c r="J28" s="145" t="s">
        <v>46</v>
      </c>
      <c r="K28" s="19" t="b">
        <v>1</v>
      </c>
      <c r="L28" s="19" t="b">
        <v>1</v>
      </c>
      <c r="M28" s="19" t="b">
        <v>1</v>
      </c>
      <c r="N28" s="19" t="b">
        <v>1</v>
      </c>
      <c r="O28" s="19" t="b">
        <v>1</v>
      </c>
      <c r="P28" s="118"/>
      <c r="Q28" s="85"/>
      <c r="R28" s="85"/>
      <c r="S28" s="85"/>
      <c r="T28" s="96"/>
      <c r="U28" s="85"/>
      <c r="V28" s="85"/>
      <c r="AF28" s="118"/>
      <c r="AG28" s="118"/>
    </row>
    <row r="29" ht="15.75" customHeight="1" outlineLevel="1">
      <c r="A29" s="19" t="b">
        <v>0</v>
      </c>
      <c r="B29" s="34" t="s">
        <v>197</v>
      </c>
      <c r="C29" s="35" t="s">
        <v>26</v>
      </c>
      <c r="D29" s="34" t="s">
        <v>21</v>
      </c>
      <c r="E29" s="34">
        <v>0.5</v>
      </c>
      <c r="F29" s="34">
        <v>1.0</v>
      </c>
      <c r="G29" s="34" t="s">
        <v>34</v>
      </c>
      <c r="H29" s="34" t="s">
        <v>23</v>
      </c>
      <c r="I29" s="34" t="s">
        <v>23</v>
      </c>
      <c r="J29" s="105" t="s">
        <v>198</v>
      </c>
      <c r="K29" s="19" t="b">
        <v>1</v>
      </c>
      <c r="L29" s="19" t="b">
        <v>0</v>
      </c>
      <c r="M29" s="19" t="b">
        <v>1</v>
      </c>
      <c r="N29" s="19" t="b">
        <v>1</v>
      </c>
      <c r="O29" s="19" t="b">
        <v>0</v>
      </c>
      <c r="P29" s="118"/>
      <c r="Q29" s="146" t="s">
        <v>199</v>
      </c>
      <c r="R29" s="147"/>
      <c r="S29" s="103" t="str">
        <f>T27-R25</f>
        <v>#REF!</v>
      </c>
      <c r="T29" s="96"/>
      <c r="U29" s="85"/>
      <c r="V29" s="85"/>
      <c r="AF29" s="118"/>
      <c r="AG29" s="118"/>
    </row>
    <row r="30" ht="15.75" customHeight="1" outlineLevel="1">
      <c r="A30" s="19" t="b">
        <v>0</v>
      </c>
      <c r="B30" s="27" t="s">
        <v>127</v>
      </c>
      <c r="C30" s="27"/>
      <c r="D30" s="27" t="s">
        <v>21</v>
      </c>
      <c r="E30" s="27">
        <v>1.0</v>
      </c>
      <c r="F30" s="27">
        <v>1.0</v>
      </c>
      <c r="G30" s="34" t="s">
        <v>128</v>
      </c>
      <c r="H30" s="27" t="s">
        <v>23</v>
      </c>
      <c r="I30" s="27" t="s">
        <v>23</v>
      </c>
      <c r="J30" s="148">
        <v>45709.0</v>
      </c>
      <c r="K30" s="19" t="b">
        <v>1</v>
      </c>
      <c r="L30" s="19" t="b">
        <v>1</v>
      </c>
      <c r="M30" s="19" t="b">
        <v>1</v>
      </c>
      <c r="N30" s="19" t="b">
        <v>1</v>
      </c>
      <c r="O30" s="19" t="b">
        <v>1</v>
      </c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</row>
    <row r="31" ht="15.75" customHeight="1" outlineLevel="1">
      <c r="A31" s="19" t="b">
        <v>0</v>
      </c>
      <c r="B31" s="35" t="s">
        <v>200</v>
      </c>
      <c r="C31" s="35" t="s">
        <v>20</v>
      </c>
      <c r="D31" s="34" t="s">
        <v>21</v>
      </c>
      <c r="E31" s="35">
        <v>1.0</v>
      </c>
      <c r="F31" s="34">
        <v>1.0</v>
      </c>
      <c r="G31" s="35" t="s">
        <v>22</v>
      </c>
      <c r="H31" s="34" t="s">
        <v>23</v>
      </c>
      <c r="I31" s="34" t="s">
        <v>23</v>
      </c>
      <c r="J31" s="128">
        <v>46056.0</v>
      </c>
      <c r="K31" s="19" t="b">
        <v>1</v>
      </c>
      <c r="L31" s="19" t="b">
        <v>0</v>
      </c>
      <c r="M31" s="19" t="b">
        <v>1</v>
      </c>
      <c r="N31" s="19" t="b">
        <v>1</v>
      </c>
      <c r="O31" s="19" t="b">
        <v>0</v>
      </c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</row>
    <row r="32" ht="15.75" customHeight="1" outlineLevel="1">
      <c r="A32" s="19" t="b">
        <v>0</v>
      </c>
      <c r="B32" s="35" t="s">
        <v>201</v>
      </c>
      <c r="C32" s="35" t="s">
        <v>20</v>
      </c>
      <c r="D32" s="35" t="s">
        <v>21</v>
      </c>
      <c r="E32" s="35">
        <v>16.0</v>
      </c>
      <c r="F32" s="35">
        <v>2.0</v>
      </c>
      <c r="G32" s="35" t="s">
        <v>202</v>
      </c>
      <c r="H32" s="35" t="s">
        <v>203</v>
      </c>
      <c r="I32" s="35" t="s">
        <v>204</v>
      </c>
      <c r="J32" s="149">
        <v>46071.0</v>
      </c>
      <c r="K32" s="19" t="b">
        <v>1</v>
      </c>
      <c r="L32" s="19" t="b">
        <v>1</v>
      </c>
      <c r="M32" s="19" t="b">
        <v>1</v>
      </c>
      <c r="N32" s="19" t="b">
        <v>1</v>
      </c>
      <c r="O32" s="19" t="b">
        <v>0</v>
      </c>
      <c r="P32" s="130" t="s">
        <v>205</v>
      </c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</row>
    <row r="33" ht="15.75" customHeight="1" outlineLevel="1">
      <c r="A33" s="19" t="b">
        <v>0</v>
      </c>
      <c r="B33" s="35" t="s">
        <v>206</v>
      </c>
      <c r="C33" s="35" t="s">
        <v>20</v>
      </c>
      <c r="D33" s="35" t="s">
        <v>21</v>
      </c>
      <c r="E33" s="35">
        <v>24.0</v>
      </c>
      <c r="F33" s="35">
        <v>3.0</v>
      </c>
      <c r="G33" s="34"/>
      <c r="H33" s="34"/>
      <c r="I33" s="34"/>
      <c r="J33" s="40" t="s">
        <v>207</v>
      </c>
      <c r="K33" s="19" t="b">
        <v>1</v>
      </c>
      <c r="L33" s="19" t="b">
        <v>1</v>
      </c>
      <c r="M33" s="19" t="b">
        <v>1</v>
      </c>
      <c r="N33" s="19" t="b">
        <v>1</v>
      </c>
      <c r="O33" s="19" t="b">
        <v>0</v>
      </c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</row>
    <row r="34" ht="15.75" customHeight="1" outlineLevel="1">
      <c r="A34" s="19" t="b">
        <v>0</v>
      </c>
      <c r="B34" s="150" t="s">
        <v>208</v>
      </c>
      <c r="C34" s="50" t="s">
        <v>20</v>
      </c>
      <c r="D34" s="50" t="s">
        <v>21</v>
      </c>
      <c r="E34" s="135"/>
      <c r="F34" s="150">
        <v>1.0</v>
      </c>
      <c r="G34" s="150" t="s">
        <v>50</v>
      </c>
      <c r="H34" s="150" t="s">
        <v>23</v>
      </c>
      <c r="I34" s="150" t="s">
        <v>23</v>
      </c>
      <c r="J34" s="151" t="s">
        <v>209</v>
      </c>
      <c r="K34" s="19" t="b">
        <v>0</v>
      </c>
      <c r="L34" s="19" t="b">
        <v>0</v>
      </c>
      <c r="M34" s="19" t="b">
        <v>0</v>
      </c>
      <c r="N34" s="19" t="b">
        <v>0</v>
      </c>
      <c r="O34" s="19" t="b">
        <v>0</v>
      </c>
      <c r="P34" s="130" t="s">
        <v>210</v>
      </c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</row>
    <row r="35" ht="15.75" customHeight="1" outlineLevel="1">
      <c r="A35" s="19" t="b">
        <v>0</v>
      </c>
      <c r="B35" s="35" t="s">
        <v>211</v>
      </c>
      <c r="C35" s="35" t="s">
        <v>20</v>
      </c>
      <c r="D35" s="35" t="s">
        <v>21</v>
      </c>
      <c r="E35" s="35">
        <v>1.0</v>
      </c>
      <c r="F35" s="35">
        <v>1.0</v>
      </c>
      <c r="G35" s="35" t="s">
        <v>22</v>
      </c>
      <c r="H35" s="35" t="s">
        <v>23</v>
      </c>
      <c r="I35" s="35" t="s">
        <v>23</v>
      </c>
      <c r="J35" s="40" t="s">
        <v>212</v>
      </c>
      <c r="K35" s="19" t="b">
        <v>0</v>
      </c>
      <c r="L35" s="19" t="b">
        <v>0</v>
      </c>
      <c r="M35" s="19" t="b">
        <v>0</v>
      </c>
      <c r="N35" s="19" t="b">
        <v>0</v>
      </c>
      <c r="O35" s="19" t="b">
        <v>0</v>
      </c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</row>
    <row r="36" ht="15.75" customHeight="1" outlineLevel="1">
      <c r="A36" s="19" t="b">
        <v>0</v>
      </c>
      <c r="B36" s="35" t="s">
        <v>213</v>
      </c>
      <c r="C36" s="35" t="s">
        <v>20</v>
      </c>
      <c r="D36" s="35" t="s">
        <v>214</v>
      </c>
      <c r="E36" s="34"/>
      <c r="F36" s="34"/>
      <c r="G36" s="35" t="s">
        <v>42</v>
      </c>
      <c r="H36" s="35" t="s">
        <v>23</v>
      </c>
      <c r="I36" s="34"/>
      <c r="J36" s="34"/>
      <c r="K36" s="19" t="b">
        <v>0</v>
      </c>
      <c r="L36" s="19" t="b">
        <v>0</v>
      </c>
      <c r="M36" s="19" t="b">
        <v>0</v>
      </c>
      <c r="N36" s="19" t="b">
        <v>0</v>
      </c>
      <c r="O36" s="19" t="b">
        <v>0</v>
      </c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</row>
    <row r="37" ht="15.75" customHeight="1" outlineLevel="1">
      <c r="A37" s="19" t="b">
        <v>0</v>
      </c>
      <c r="B37" s="35" t="s">
        <v>215</v>
      </c>
      <c r="C37" s="35" t="s">
        <v>20</v>
      </c>
      <c r="D37" s="35" t="s">
        <v>21</v>
      </c>
      <c r="E37" s="34"/>
      <c r="F37" s="34"/>
      <c r="G37" s="35" t="s">
        <v>34</v>
      </c>
      <c r="H37" s="35" t="s">
        <v>23</v>
      </c>
      <c r="I37" s="34"/>
      <c r="J37" s="34"/>
      <c r="K37" s="19" t="b">
        <v>0</v>
      </c>
      <c r="L37" s="19" t="b">
        <v>0</v>
      </c>
      <c r="M37" s="19" t="b">
        <v>0</v>
      </c>
      <c r="N37" s="19" t="b">
        <v>0</v>
      </c>
      <c r="O37" s="19" t="b">
        <v>0</v>
      </c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</row>
    <row r="38" ht="22.5" customHeight="1" outlineLevel="1">
      <c r="A38" s="19" t="b">
        <v>0</v>
      </c>
      <c r="B38" s="35" t="s">
        <v>216</v>
      </c>
      <c r="C38" s="35" t="s">
        <v>20</v>
      </c>
      <c r="D38" s="35" t="s">
        <v>21</v>
      </c>
      <c r="E38" s="35">
        <v>1.0</v>
      </c>
      <c r="F38" s="35">
        <v>1.0</v>
      </c>
      <c r="G38" s="35" t="s">
        <v>34</v>
      </c>
      <c r="H38" s="35" t="s">
        <v>23</v>
      </c>
      <c r="I38" s="35" t="s">
        <v>23</v>
      </c>
      <c r="J38" s="152">
        <v>46056.0</v>
      </c>
      <c r="K38" s="19" t="b">
        <v>1</v>
      </c>
      <c r="L38" s="19" t="b">
        <v>1</v>
      </c>
      <c r="M38" s="19" t="b">
        <v>1</v>
      </c>
      <c r="N38" s="19" t="b">
        <v>1</v>
      </c>
      <c r="O38" s="19" t="b">
        <v>1</v>
      </c>
      <c r="P38" s="130"/>
      <c r="Q38" s="153"/>
      <c r="R38" s="153"/>
      <c r="S38" s="153"/>
      <c r="T38" s="153"/>
      <c r="U38" s="153"/>
      <c r="V38" s="153"/>
      <c r="W38" s="153"/>
      <c r="X38" s="153"/>
      <c r="Y38" s="154"/>
      <c r="Z38" s="130"/>
      <c r="AA38" s="130"/>
      <c r="AB38" s="130"/>
      <c r="AC38" s="130"/>
      <c r="AD38" s="130"/>
      <c r="AE38" s="118"/>
      <c r="AF38" s="118"/>
      <c r="AG38" s="118"/>
    </row>
    <row r="39" ht="15.75" customHeight="1" outlineLevel="1">
      <c r="A39" s="19" t="b">
        <v>0</v>
      </c>
      <c r="B39" s="35" t="s">
        <v>217</v>
      </c>
      <c r="C39" s="35" t="s">
        <v>20</v>
      </c>
      <c r="D39" s="35" t="s">
        <v>21</v>
      </c>
      <c r="E39" s="35">
        <v>1.0</v>
      </c>
      <c r="F39" s="35">
        <v>1.0</v>
      </c>
      <c r="G39" s="35" t="s">
        <v>218</v>
      </c>
      <c r="H39" s="35" t="s">
        <v>23</v>
      </c>
      <c r="I39" s="35" t="s">
        <v>23</v>
      </c>
      <c r="J39" s="152">
        <v>46080.0</v>
      </c>
      <c r="K39" s="19" t="b">
        <v>1</v>
      </c>
      <c r="L39" s="19" t="b">
        <v>0</v>
      </c>
      <c r="M39" s="19" t="b">
        <v>1</v>
      </c>
      <c r="N39" s="19" t="b">
        <v>1</v>
      </c>
      <c r="O39" s="19" t="b">
        <v>0</v>
      </c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</row>
    <row r="40" ht="15.75" customHeight="1" outlineLevel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155"/>
      <c r="L40" s="155"/>
      <c r="M40" s="155"/>
      <c r="N40" s="19"/>
      <c r="O40" s="19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</row>
    <row r="41" ht="15.75" customHeight="1" outlineLevel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155"/>
      <c r="L41" s="155"/>
      <c r="M41" s="155"/>
      <c r="N41" s="19"/>
      <c r="O41" s="19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</row>
    <row r="42" ht="15.75" customHeight="1" outlineLevel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155"/>
      <c r="L42" s="155"/>
      <c r="M42" s="155"/>
      <c r="N42" s="156"/>
      <c r="O42" s="156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</row>
    <row r="43" ht="15.75" customHeight="1" outlineLevel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155"/>
      <c r="L43" s="155"/>
      <c r="M43" s="155"/>
      <c r="N43" s="116"/>
      <c r="O43" s="116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</row>
    <row r="44" ht="15.75" customHeight="1" outlineLevel="1">
      <c r="A44" s="34"/>
      <c r="B44" s="34"/>
      <c r="C44" s="34"/>
      <c r="D44" s="34"/>
      <c r="E44" s="34">
        <f>SUM(E2:E39)</f>
        <v>254.5</v>
      </c>
      <c r="F44" s="34"/>
      <c r="G44" s="34"/>
      <c r="H44" s="34"/>
      <c r="I44" s="34"/>
      <c r="J44" s="34"/>
      <c r="K44" s="155"/>
      <c r="L44" s="155"/>
      <c r="M44" s="155"/>
      <c r="N44" s="116"/>
      <c r="O44" s="116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</row>
    <row r="45" ht="15.75" customHeight="1" outlineLevel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155"/>
      <c r="L45" s="155"/>
      <c r="M45" s="155"/>
      <c r="N45" s="116"/>
      <c r="O45" s="116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</row>
    <row r="46" ht="15.75" customHeight="1" outlineLevel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155"/>
      <c r="L46" s="155"/>
      <c r="M46" s="155"/>
      <c r="N46" s="116"/>
      <c r="O46" s="116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</row>
    <row r="47" ht="15.75" customHeight="1" outlineLevel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155"/>
      <c r="L47" s="155"/>
      <c r="M47" s="155"/>
      <c r="N47" s="116"/>
      <c r="O47" s="116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</row>
    <row r="48" ht="15.75" customHeight="1" outlineLevel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155"/>
      <c r="L48" s="155"/>
      <c r="M48" s="155"/>
      <c r="N48" s="116"/>
      <c r="O48" s="116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</row>
    <row r="49" ht="15.75" customHeight="1" outlineLevel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155"/>
      <c r="L49" s="155"/>
      <c r="M49" s="155"/>
      <c r="N49" s="116"/>
      <c r="O49" s="116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</row>
    <row r="50" ht="15.75" customHeight="1" outlineLevel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155"/>
      <c r="L50" s="155"/>
      <c r="M50" s="155"/>
      <c r="N50" s="116"/>
      <c r="O50" s="116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</row>
    <row r="51" ht="15.75" customHeight="1" outlineLevel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155"/>
      <c r="L51" s="155"/>
      <c r="M51" s="155"/>
      <c r="N51" s="116"/>
      <c r="O51" s="116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</row>
    <row r="52" ht="15.75" customHeight="1" outlineLevel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155"/>
      <c r="L52" s="155"/>
      <c r="M52" s="155"/>
      <c r="N52" s="116"/>
      <c r="O52" s="116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</row>
    <row r="53" ht="15.75" customHeight="1" outlineLevel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155"/>
      <c r="L53" s="155"/>
      <c r="M53" s="155"/>
      <c r="N53" s="116"/>
      <c r="O53" s="116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</row>
    <row r="54" ht="15.75" customHeight="1" outlineLevel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155"/>
      <c r="L54" s="155"/>
      <c r="M54" s="155"/>
      <c r="N54" s="116"/>
      <c r="O54" s="116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</row>
    <row r="55" ht="15.75" customHeight="1" outlineLevel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155"/>
      <c r="L55" s="155"/>
      <c r="M55" s="155"/>
      <c r="N55" s="116"/>
      <c r="O55" s="116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</row>
    <row r="56" ht="15.75" customHeight="1" outlineLevel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155"/>
      <c r="L56" s="155"/>
      <c r="M56" s="155"/>
      <c r="N56" s="116"/>
      <c r="O56" s="116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</row>
    <row r="57" ht="15.75" customHeight="1" outlineLevel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155"/>
      <c r="L57" s="155"/>
      <c r="M57" s="155"/>
      <c r="N57" s="116"/>
      <c r="O57" s="116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</row>
    <row r="58" ht="15.75" customHeight="1" outlineLevel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155"/>
      <c r="L58" s="155"/>
      <c r="M58" s="155"/>
      <c r="N58" s="116"/>
      <c r="O58" s="116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</row>
    <row r="59" ht="15.75" customHeight="1" outlineLevel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155"/>
      <c r="L59" s="155"/>
      <c r="M59" s="155"/>
      <c r="N59" s="116"/>
      <c r="O59" s="116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</row>
    <row r="60" ht="15.75" customHeight="1" outlineLevel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155"/>
      <c r="L60" s="155"/>
      <c r="M60" s="155"/>
      <c r="N60" s="116"/>
      <c r="O60" s="116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</row>
    <row r="61" ht="15.75" customHeight="1" outlineLevel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155"/>
      <c r="L61" s="155"/>
      <c r="M61" s="155"/>
      <c r="N61" s="116"/>
      <c r="O61" s="116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</row>
    <row r="62" ht="15.75" customHeight="1" outlineLevel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155"/>
      <c r="L62" s="155"/>
      <c r="M62" s="155"/>
      <c r="N62" s="116"/>
      <c r="O62" s="116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</row>
    <row r="63" ht="15.75" customHeight="1" outlineLevel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155"/>
      <c r="L63" s="155"/>
      <c r="M63" s="155"/>
      <c r="N63" s="116"/>
      <c r="O63" s="116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</row>
    <row r="64" ht="15.75" customHeight="1" outlineLevel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155"/>
      <c r="L64" s="155"/>
      <c r="M64" s="155"/>
      <c r="N64" s="116"/>
      <c r="O64" s="116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</row>
    <row r="65" ht="15.75" customHeight="1" outlineLevel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155"/>
      <c r="L65" s="155"/>
      <c r="M65" s="155"/>
      <c r="N65" s="116"/>
      <c r="O65" s="116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</row>
    <row r="66" ht="15.75" customHeight="1" outlineLevel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155"/>
      <c r="L66" s="155"/>
      <c r="M66" s="155"/>
      <c r="N66" s="116"/>
      <c r="O66" s="116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</row>
    <row r="67" ht="15.75" customHeight="1" outlineLevel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155"/>
      <c r="L67" s="155"/>
      <c r="M67" s="155"/>
      <c r="N67" s="116"/>
      <c r="O67" s="116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</row>
    <row r="68" ht="15.75" customHeight="1" outlineLevel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155"/>
      <c r="L68" s="155"/>
      <c r="M68" s="155"/>
      <c r="N68" s="116"/>
      <c r="O68" s="116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</row>
    <row r="69" ht="15.75" customHeight="1" outlineLevel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155"/>
      <c r="L69" s="155"/>
      <c r="M69" s="155"/>
      <c r="N69" s="116"/>
      <c r="O69" s="116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</row>
    <row r="70" ht="15.75" customHeight="1" outlineLevel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155"/>
      <c r="L70" s="155"/>
      <c r="M70" s="155"/>
      <c r="N70" s="116"/>
      <c r="O70" s="116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</row>
    <row r="71" ht="15.75" customHeight="1" outlineLevel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155"/>
      <c r="L71" s="155"/>
      <c r="M71" s="155"/>
      <c r="N71" s="116"/>
      <c r="O71" s="116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</row>
    <row r="72" ht="15.75" customHeight="1" outlineLevel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155"/>
      <c r="L72" s="155"/>
      <c r="M72" s="155"/>
      <c r="N72" s="116"/>
      <c r="O72" s="116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</row>
    <row r="73" ht="15.75" customHeight="1" outlineLevel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155"/>
      <c r="L73" s="155"/>
      <c r="M73" s="155"/>
      <c r="N73" s="116"/>
      <c r="O73" s="116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</row>
    <row r="74" ht="15.75" customHeight="1" outlineLevel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155"/>
      <c r="L74" s="155"/>
      <c r="M74" s="155"/>
      <c r="N74" s="116"/>
      <c r="O74" s="116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</row>
    <row r="75" ht="15.75" customHeight="1" outlineLevel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155"/>
      <c r="L75" s="155"/>
      <c r="M75" s="155"/>
      <c r="N75" s="116"/>
      <c r="O75" s="116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</row>
    <row r="76" ht="15.75" customHeight="1" outlineLevel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155"/>
      <c r="L76" s="155"/>
      <c r="M76" s="155"/>
      <c r="N76" s="116"/>
      <c r="O76" s="116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</row>
    <row r="77" ht="15.75" customHeight="1" outlineLevel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155"/>
      <c r="L77" s="155"/>
      <c r="M77" s="155"/>
      <c r="N77" s="116"/>
      <c r="O77" s="116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</row>
    <row r="78" ht="15.75" customHeight="1" outlineLevel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155"/>
      <c r="L78" s="155"/>
      <c r="M78" s="155"/>
      <c r="N78" s="116"/>
      <c r="O78" s="116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</row>
    <row r="79" ht="15.75" customHeight="1" outlineLevel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155"/>
      <c r="L79" s="155"/>
      <c r="M79" s="155"/>
      <c r="N79" s="116"/>
      <c r="O79" s="116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</row>
    <row r="80" ht="15.75" customHeight="1" outlineLevel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155"/>
      <c r="L80" s="155"/>
      <c r="M80" s="155"/>
      <c r="N80" s="116"/>
      <c r="O80" s="116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</row>
    <row r="81" ht="15.75" customHeight="1" outlineLevel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155"/>
      <c r="L81" s="155"/>
      <c r="M81" s="155"/>
      <c r="N81" s="116"/>
      <c r="O81" s="116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</row>
    <row r="82" ht="15.75" customHeight="1" outlineLevel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155"/>
      <c r="L82" s="155"/>
      <c r="M82" s="155"/>
      <c r="N82" s="116"/>
      <c r="O82" s="116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</row>
    <row r="83" ht="15.75" customHeight="1" outlineLevel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155"/>
      <c r="L83" s="155"/>
      <c r="M83" s="155"/>
      <c r="N83" s="116"/>
      <c r="O83" s="116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</row>
    <row r="84" ht="15.75" customHeight="1" outlineLevel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155"/>
      <c r="L84" s="155"/>
      <c r="M84" s="155"/>
      <c r="N84" s="116"/>
      <c r="O84" s="116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</row>
    <row r="85" ht="15.75" customHeight="1" outlineLevel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155"/>
      <c r="L85" s="155"/>
      <c r="M85" s="155"/>
      <c r="N85" s="116"/>
      <c r="O85" s="116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</row>
    <row r="86" ht="15.75" customHeight="1" outlineLevel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155"/>
      <c r="L86" s="155"/>
      <c r="M86" s="155"/>
      <c r="N86" s="116"/>
      <c r="O86" s="116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</row>
    <row r="87" ht="15.75" customHeight="1" outlineLevel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155"/>
      <c r="L87" s="155"/>
      <c r="M87" s="155"/>
      <c r="N87" s="116"/>
      <c r="O87" s="116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</row>
    <row r="88" ht="15.75" customHeight="1" outlineLevel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155"/>
      <c r="L88" s="155"/>
      <c r="M88" s="155"/>
      <c r="N88" s="116"/>
      <c r="O88" s="116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</row>
    <row r="89" ht="15.75" customHeight="1" outlineLevel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155"/>
      <c r="L89" s="155"/>
      <c r="M89" s="155"/>
      <c r="N89" s="116"/>
      <c r="O89" s="116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</row>
    <row r="90" ht="15.75" customHeight="1" outlineLevel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155"/>
      <c r="L90" s="155"/>
      <c r="M90" s="155"/>
      <c r="N90" s="116"/>
      <c r="O90" s="116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</row>
    <row r="91" ht="15.75" customHeight="1" outlineLevel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155"/>
      <c r="L91" s="155"/>
      <c r="M91" s="155"/>
      <c r="N91" s="116"/>
      <c r="O91" s="116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</row>
    <row r="92" ht="15.75" customHeight="1" outlineLevel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155"/>
      <c r="L92" s="155"/>
      <c r="M92" s="155"/>
      <c r="N92" s="116"/>
      <c r="O92" s="116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</row>
    <row r="93" ht="15.75" customHeight="1" outlineLevel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155"/>
      <c r="L93" s="155"/>
      <c r="M93" s="155"/>
      <c r="N93" s="116"/>
      <c r="O93" s="116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</row>
    <row r="94" ht="15.75" customHeight="1" outlineLevel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155"/>
      <c r="L94" s="155"/>
      <c r="M94" s="155"/>
      <c r="N94" s="116"/>
      <c r="O94" s="116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</row>
    <row r="95" ht="15.75" customHeight="1" outlineLevel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155"/>
      <c r="L95" s="155"/>
      <c r="M95" s="155"/>
      <c r="N95" s="116"/>
      <c r="O95" s="116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</row>
    <row r="96" ht="15.75" customHeight="1" outlineLevel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155"/>
      <c r="L96" s="155"/>
      <c r="M96" s="155"/>
      <c r="N96" s="116"/>
      <c r="O96" s="116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</row>
    <row r="97" ht="15.75" customHeight="1" outlineLevel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155"/>
      <c r="L97" s="155"/>
      <c r="M97" s="155"/>
      <c r="N97" s="116"/>
      <c r="O97" s="116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</row>
    <row r="98" ht="15.75" customHeight="1" outlineLevel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155"/>
      <c r="L98" s="155"/>
      <c r="M98" s="155"/>
      <c r="N98" s="116"/>
      <c r="O98" s="116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</row>
    <row r="99" ht="15.75" customHeight="1" outlineLevel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155"/>
      <c r="L99" s="155"/>
      <c r="M99" s="155"/>
      <c r="N99" s="116"/>
      <c r="O99" s="116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</row>
    <row r="100" ht="15.75" customHeight="1" outlineLevel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155"/>
      <c r="L100" s="155"/>
      <c r="M100" s="155"/>
      <c r="N100" s="116"/>
      <c r="O100" s="116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</row>
    <row r="101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L101" s="118"/>
      <c r="M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</row>
    <row r="102" ht="15.75" customHeight="1">
      <c r="A102" s="118"/>
      <c r="B102" s="118"/>
      <c r="Y102" s="118"/>
      <c r="Z102" s="118"/>
      <c r="AA102" s="118"/>
      <c r="AB102" s="118"/>
      <c r="AC102" s="118"/>
      <c r="AD102" s="118"/>
      <c r="AE102" s="118"/>
      <c r="AF102" s="118"/>
      <c r="AG102" s="118"/>
    </row>
    <row r="103" ht="15.75" customHeight="1">
      <c r="A103" s="118"/>
      <c r="B103" s="118"/>
      <c r="Y103" s="118"/>
      <c r="Z103" s="118"/>
      <c r="AA103" s="118"/>
      <c r="AB103" s="118"/>
      <c r="AC103" s="118"/>
      <c r="AD103" s="118"/>
      <c r="AE103" s="118"/>
      <c r="AF103" s="118"/>
      <c r="AG103" s="118"/>
    </row>
    <row r="104" ht="15.75" customHeight="1">
      <c r="A104" s="118"/>
      <c r="B104" s="118"/>
      <c r="Y104" s="118"/>
      <c r="Z104" s="118"/>
      <c r="AA104" s="118"/>
      <c r="AB104" s="118"/>
      <c r="AC104" s="118"/>
      <c r="AD104" s="118"/>
      <c r="AE104" s="118"/>
      <c r="AF104" s="118"/>
      <c r="AG104" s="118"/>
    </row>
    <row r="105" ht="15.75" customHeight="1">
      <c r="A105" s="118"/>
      <c r="B105" s="118"/>
      <c r="Y105" s="118"/>
      <c r="Z105" s="118"/>
      <c r="AA105" s="118"/>
      <c r="AB105" s="118"/>
      <c r="AC105" s="118"/>
      <c r="AD105" s="118"/>
      <c r="AE105" s="118"/>
      <c r="AF105" s="118"/>
      <c r="AG105" s="118"/>
    </row>
    <row r="106" ht="15.75" customHeight="1">
      <c r="A106" s="118"/>
      <c r="B106" s="118"/>
      <c r="Y106" s="118"/>
      <c r="Z106" s="118"/>
      <c r="AA106" s="118"/>
      <c r="AB106" s="118"/>
      <c r="AC106" s="118"/>
      <c r="AD106" s="118"/>
      <c r="AE106" s="118"/>
      <c r="AF106" s="118"/>
      <c r="AG106" s="118"/>
    </row>
    <row r="107" ht="15.75" customHeight="1">
      <c r="A107" s="118"/>
      <c r="B107" s="118"/>
      <c r="Y107" s="118"/>
      <c r="Z107" s="118"/>
      <c r="AA107" s="118"/>
      <c r="AB107" s="118"/>
      <c r="AC107" s="118"/>
      <c r="AD107" s="118"/>
      <c r="AE107" s="118"/>
      <c r="AF107" s="118"/>
      <c r="AG107" s="118"/>
    </row>
    <row r="108" ht="15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</row>
    <row r="109" ht="15.7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</row>
    <row r="110" ht="15.7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</row>
    <row r="111" ht="15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</row>
    <row r="112" ht="15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</row>
    <row r="113" ht="15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</row>
    <row r="114" ht="15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</row>
    <row r="115" ht="15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</row>
    <row r="116" ht="15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</row>
    <row r="117" ht="15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</row>
    <row r="118" ht="15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</row>
    <row r="119" ht="15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</row>
    <row r="120" ht="15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</row>
    <row r="121" ht="15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</row>
    <row r="122" ht="15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</row>
    <row r="123" ht="15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</row>
    <row r="124" ht="15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</row>
    <row r="125" ht="15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</row>
    <row r="126" ht="15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</row>
    <row r="127" ht="15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</row>
    <row r="128" ht="15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</row>
    <row r="129" ht="15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</row>
    <row r="130" ht="15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</row>
    <row r="131" ht="15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</row>
    <row r="132" ht="15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</row>
    <row r="133" ht="15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</row>
    <row r="134" ht="15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</row>
    <row r="135" ht="15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</row>
    <row r="136" ht="15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</row>
    <row r="137" ht="15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</row>
    <row r="138" ht="15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</row>
    <row r="139" ht="15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</row>
    <row r="140" ht="15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</row>
    <row r="141" ht="15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</row>
    <row r="142" ht="15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</row>
    <row r="143" ht="15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</row>
    <row r="144" ht="15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</row>
    <row r="145" ht="15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</row>
    <row r="146" ht="15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</row>
    <row r="147" ht="15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</row>
    <row r="148" ht="15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</row>
    <row r="149" ht="15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</row>
    <row r="150" ht="15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</row>
    <row r="151" ht="15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</row>
    <row r="152" ht="15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</row>
    <row r="153" ht="15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</row>
    <row r="154" ht="15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</row>
    <row r="155" ht="15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</row>
    <row r="156" ht="15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</row>
    <row r="157" ht="15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</row>
    <row r="158" ht="15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</row>
    <row r="159" ht="15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</row>
    <row r="160" ht="15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</row>
    <row r="161" ht="15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</row>
    <row r="162" ht="15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</row>
    <row r="163" ht="15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</row>
    <row r="164" ht="15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</row>
    <row r="165" ht="15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</row>
    <row r="166" ht="15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</row>
    <row r="167" ht="15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</row>
    <row r="168" ht="15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</row>
    <row r="169" ht="15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</row>
    <row r="170" ht="15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</row>
    <row r="171" ht="15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</row>
    <row r="172" ht="15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</row>
    <row r="173" ht="15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</row>
    <row r="174" ht="15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</row>
    <row r="175" ht="15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</row>
    <row r="176" ht="15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</row>
    <row r="177" ht="15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</row>
    <row r="178" ht="15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</row>
    <row r="179" ht="15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</row>
    <row r="180" ht="15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</row>
    <row r="181" ht="15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</row>
    <row r="182" ht="15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</row>
    <row r="183" ht="15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</row>
    <row r="184" ht="15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</row>
    <row r="185" ht="15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</row>
    <row r="186" ht="15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</row>
    <row r="187" ht="15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</row>
    <row r="188" ht="15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</row>
    <row r="189" ht="15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</row>
    <row r="190" ht="15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</row>
    <row r="191" ht="15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</row>
    <row r="192" ht="15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</row>
    <row r="193" ht="15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</row>
    <row r="194" ht="15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</row>
    <row r="195" ht="15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</row>
    <row r="196" ht="15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</row>
    <row r="197" ht="15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</row>
    <row r="198" ht="15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</row>
    <row r="199" ht="15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</row>
    <row r="200" ht="15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</row>
    <row r="201" ht="15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</row>
    <row r="202" ht="15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</row>
    <row r="203" ht="15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</row>
    <row r="204" ht="15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</row>
    <row r="205" ht="15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</row>
    <row r="206" ht="15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</row>
    <row r="207" ht="15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</row>
    <row r="208" ht="15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</row>
    <row r="209" ht="15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</row>
    <row r="210" ht="15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</row>
    <row r="211" ht="15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</row>
    <row r="212" ht="15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</row>
    <row r="213" ht="15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</row>
    <row r="214" ht="15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</row>
    <row r="215" ht="15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</row>
    <row r="216" ht="15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</row>
    <row r="217" ht="15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</row>
    <row r="218" ht="15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</row>
    <row r="219" ht="15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</row>
    <row r="220" ht="15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</row>
    <row r="221" ht="15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</row>
    <row r="222" ht="15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</row>
    <row r="223" ht="15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</row>
    <row r="224" ht="15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</row>
    <row r="225" ht="15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</row>
    <row r="226" ht="15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</row>
    <row r="227" ht="15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</row>
    <row r="228" ht="15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</row>
    <row r="229" ht="15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</row>
    <row r="230" ht="15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</row>
    <row r="231" ht="15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</row>
    <row r="232" ht="15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</row>
    <row r="233" ht="15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</row>
    <row r="234" ht="15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</row>
    <row r="235" ht="15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</row>
    <row r="236" ht="15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</row>
    <row r="237" ht="15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</row>
    <row r="238" ht="15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</row>
    <row r="239" ht="15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</row>
    <row r="240" ht="15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</row>
    <row r="241" ht="15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</row>
    <row r="242" ht="15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</row>
    <row r="243" ht="15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</row>
    <row r="244" ht="15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</row>
    <row r="245" ht="15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</row>
    <row r="246" ht="15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</row>
    <row r="247" ht="15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</row>
    <row r="248" ht="15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</row>
    <row r="249" ht="15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</row>
    <row r="250" ht="15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</row>
    <row r="251" ht="15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</row>
    <row r="252" ht="15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</row>
    <row r="253" ht="15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</row>
    <row r="254" ht="15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</row>
    <row r="255" ht="15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</row>
    <row r="256" ht="15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</row>
    <row r="257" ht="15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</row>
    <row r="258" ht="15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</row>
    <row r="259" ht="15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</row>
    <row r="260" ht="15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</row>
    <row r="261" ht="15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</row>
    <row r="262" ht="15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</row>
    <row r="263" ht="15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</row>
    <row r="264" ht="15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</row>
    <row r="265" ht="15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</row>
    <row r="266" ht="15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</row>
    <row r="267" ht="15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</row>
    <row r="268" ht="15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</row>
    <row r="269" ht="15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</row>
    <row r="270" ht="15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</row>
    <row r="271" ht="15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</row>
    <row r="272" ht="15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</row>
    <row r="273" ht="15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</row>
    <row r="274" ht="15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</row>
    <row r="275" ht="15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</row>
    <row r="276" ht="15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</row>
    <row r="277" ht="15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</row>
    <row r="278" ht="15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</row>
    <row r="279" ht="15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</row>
    <row r="280" ht="15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</row>
    <row r="281" ht="15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</row>
    <row r="282" ht="15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</row>
    <row r="283" ht="15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</row>
    <row r="284" ht="15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</row>
    <row r="285" ht="15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</row>
    <row r="286" ht="15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</row>
    <row r="287" ht="15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</row>
    <row r="288" ht="15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</row>
    <row r="289" ht="15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</row>
    <row r="290" ht="15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</row>
    <row r="291" ht="15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</row>
    <row r="292" ht="15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</row>
    <row r="293" ht="15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</row>
    <row r="294" ht="15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</row>
    <row r="295" ht="15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</row>
    <row r="296" ht="15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</row>
    <row r="297" ht="15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</row>
    <row r="298" ht="15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</row>
    <row r="299" ht="15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</row>
    <row r="300" ht="15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</row>
    <row r="301" ht="15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</row>
    <row r="302" ht="15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</row>
    <row r="303" ht="15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</row>
    <row r="304" ht="15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</row>
    <row r="305" ht="15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</row>
    <row r="306" ht="15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</row>
    <row r="307" ht="15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</row>
    <row r="308" ht="15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</row>
    <row r="309" ht="15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</row>
    <row r="310" ht="15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</row>
    <row r="311" ht="15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</row>
    <row r="312" ht="15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</row>
    <row r="313" ht="15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</row>
    <row r="314" ht="15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</row>
    <row r="315" ht="15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</row>
    <row r="316" ht="15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</row>
    <row r="317" ht="15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</row>
    <row r="318" ht="15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</row>
    <row r="319" ht="15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</row>
    <row r="320" ht="15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</row>
    <row r="321" ht="15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</row>
    <row r="322" ht="15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</row>
    <row r="323" ht="15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</row>
    <row r="324" ht="15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</row>
    <row r="325" ht="15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</row>
    <row r="326" ht="15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</row>
    <row r="327" ht="15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</row>
    <row r="328" ht="15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</row>
    <row r="329" ht="15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</row>
    <row r="330" ht="15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</row>
    <row r="331" ht="15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</row>
    <row r="332" ht="15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</row>
    <row r="333" ht="15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</row>
    <row r="334" ht="15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</row>
    <row r="335" ht="15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</row>
    <row r="336" ht="15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</row>
    <row r="337" ht="15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</row>
    <row r="338" ht="15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</row>
    <row r="339" ht="15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</row>
    <row r="340" ht="15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</row>
    <row r="341" ht="15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</row>
    <row r="342" ht="15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</row>
    <row r="343" ht="15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</row>
    <row r="344" ht="15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</row>
    <row r="345" ht="15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</row>
    <row r="346" ht="15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</row>
    <row r="347" ht="15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</row>
    <row r="348" ht="15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</row>
    <row r="349" ht="15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</row>
    <row r="350" ht="15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</row>
    <row r="351" ht="15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</row>
    <row r="352" ht="15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</row>
    <row r="353" ht="15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</row>
    <row r="354" ht="15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</row>
    <row r="355" ht="15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</row>
    <row r="356" ht="15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</row>
    <row r="357" ht="15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</row>
    <row r="358" ht="15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</row>
    <row r="359" ht="15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</row>
    <row r="360" ht="15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</row>
    <row r="361" ht="15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</row>
    <row r="362" ht="15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</row>
    <row r="363" ht="15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</row>
    <row r="364" ht="15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</row>
    <row r="365" ht="15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</row>
    <row r="366" ht="15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</row>
    <row r="367" ht="15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</row>
    <row r="368" ht="15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</row>
    <row r="369" ht="15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</row>
    <row r="370" ht="15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</row>
    <row r="371" ht="15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</row>
    <row r="372" ht="15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</row>
    <row r="373" ht="15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</row>
    <row r="374" ht="15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</row>
    <row r="375" ht="15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</row>
    <row r="376" ht="15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</row>
    <row r="377" ht="15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</row>
    <row r="378" ht="15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</row>
    <row r="379" ht="15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</row>
    <row r="380" ht="15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</row>
    <row r="381" ht="15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</row>
    <row r="382" ht="15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</row>
    <row r="383" ht="15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</row>
    <row r="384" ht="15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</row>
    <row r="385" ht="15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</row>
    <row r="386" ht="15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</row>
    <row r="387" ht="15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</row>
    <row r="388" ht="15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</row>
    <row r="389" ht="15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</row>
    <row r="390" ht="15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</row>
    <row r="391" ht="15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</row>
    <row r="392" ht="15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</row>
    <row r="393" ht="15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</row>
    <row r="394" ht="15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</row>
    <row r="395" ht="15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</row>
    <row r="396" ht="15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</row>
    <row r="397" ht="15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</row>
    <row r="398" ht="15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</row>
    <row r="399" ht="15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</row>
    <row r="400" ht="15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</row>
    <row r="401" ht="15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</row>
    <row r="402" ht="15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</row>
    <row r="403" ht="15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</row>
    <row r="404" ht="15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</row>
    <row r="405" ht="15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</row>
    <row r="406" ht="15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</row>
    <row r="407" ht="15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</row>
    <row r="408" ht="15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</row>
    <row r="409" ht="15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</row>
    <row r="410" ht="15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</row>
    <row r="411" ht="15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</row>
    <row r="412" ht="15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</row>
    <row r="413" ht="15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</row>
    <row r="414" ht="15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</row>
    <row r="415" ht="15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</row>
    <row r="416" ht="15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</row>
    <row r="417" ht="15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</row>
    <row r="418" ht="15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</row>
    <row r="419" ht="15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</row>
    <row r="420" ht="15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</row>
    <row r="421" ht="15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</row>
    <row r="422" ht="15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</row>
    <row r="423" ht="15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</row>
    <row r="424" ht="15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</row>
    <row r="425" ht="15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</row>
    <row r="426" ht="15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</row>
    <row r="427" ht="15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</row>
    <row r="428" ht="15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</row>
    <row r="429" ht="15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</row>
    <row r="430" ht="15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</row>
    <row r="431" ht="15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</row>
    <row r="432" ht="15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</row>
    <row r="433" ht="15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</row>
    <row r="434" ht="15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</row>
    <row r="435" ht="15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</row>
    <row r="436" ht="15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</row>
    <row r="437" ht="15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</row>
    <row r="438" ht="15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</row>
    <row r="439" ht="15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</row>
    <row r="440" ht="15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</row>
    <row r="441" ht="15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</row>
    <row r="442" ht="15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</row>
    <row r="443" ht="15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</row>
    <row r="444" ht="15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</row>
    <row r="445" ht="15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</row>
    <row r="446" ht="15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</row>
    <row r="447" ht="15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</row>
    <row r="448" ht="15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</row>
    <row r="449" ht="15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</row>
    <row r="450" ht="15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</row>
    <row r="451" ht="15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</row>
    <row r="452" ht="15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</row>
    <row r="453" ht="15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</row>
    <row r="454" ht="15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</row>
    <row r="455" ht="15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</row>
    <row r="456" ht="15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</row>
    <row r="457" ht="15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</row>
    <row r="458" ht="15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</row>
    <row r="459" ht="15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</row>
    <row r="460" ht="15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</row>
    <row r="461" ht="15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</row>
    <row r="462" ht="15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</row>
    <row r="463" ht="15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</row>
    <row r="464" ht="15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</row>
    <row r="465" ht="15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</row>
    <row r="466" ht="15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</row>
    <row r="467" ht="15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</row>
    <row r="468" ht="15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</row>
    <row r="469" ht="15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</row>
    <row r="470" ht="15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</row>
    <row r="471" ht="15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</row>
    <row r="472" ht="15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</row>
    <row r="473" ht="15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</row>
    <row r="474" ht="15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</row>
    <row r="475" ht="15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</row>
    <row r="476" ht="15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</row>
    <row r="477" ht="15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</row>
    <row r="478" ht="15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</row>
    <row r="479" ht="15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</row>
    <row r="480" ht="15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</row>
    <row r="481" ht="15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</row>
    <row r="482" ht="15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</row>
    <row r="483" ht="15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</row>
    <row r="484" ht="15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</row>
    <row r="485" ht="15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</row>
    <row r="486" ht="15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</row>
    <row r="487" ht="15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</row>
    <row r="488" ht="15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</row>
    <row r="489" ht="15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</row>
    <row r="490" ht="15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</row>
    <row r="491" ht="15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</row>
    <row r="492" ht="15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</row>
    <row r="493" ht="15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</row>
    <row r="494" ht="15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</row>
    <row r="495" ht="15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</row>
    <row r="496" ht="15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</row>
    <row r="497" ht="15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</row>
    <row r="498" ht="15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</row>
    <row r="499" ht="15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</row>
    <row r="500" ht="15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</row>
    <row r="501" ht="15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</row>
    <row r="502" ht="15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</row>
    <row r="503" ht="15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</row>
    <row r="504" ht="15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</row>
    <row r="505" ht="15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</row>
    <row r="506" ht="15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</row>
    <row r="507" ht="15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</row>
    <row r="508" ht="15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</row>
    <row r="509" ht="15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</row>
    <row r="510" ht="15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</row>
    <row r="511" ht="15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</row>
    <row r="512" ht="15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</row>
    <row r="513" ht="15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</row>
    <row r="514" ht="15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</row>
    <row r="515" ht="15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</row>
    <row r="516" ht="15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</row>
    <row r="517" ht="15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</row>
    <row r="518" ht="15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</row>
    <row r="519" ht="15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</row>
    <row r="520" ht="15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</row>
    <row r="521" ht="15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</row>
    <row r="522" ht="15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</row>
    <row r="523" ht="15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</row>
    <row r="524" ht="15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</row>
    <row r="525" ht="15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</row>
    <row r="526" ht="15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</row>
    <row r="527" ht="15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</row>
    <row r="528" ht="15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</row>
    <row r="529" ht="15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</row>
    <row r="530" ht="15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</row>
    <row r="531" ht="15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</row>
    <row r="532" ht="15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</row>
    <row r="533" ht="15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</row>
    <row r="534" ht="15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</row>
    <row r="535" ht="15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</row>
    <row r="536" ht="15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</row>
    <row r="537" ht="15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</row>
    <row r="538" ht="15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</row>
    <row r="539" ht="15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</row>
    <row r="540" ht="15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</row>
    <row r="541" ht="15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</row>
    <row r="542" ht="15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</row>
    <row r="543" ht="15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</row>
    <row r="544" ht="15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</row>
    <row r="545" ht="15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</row>
    <row r="546" ht="15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</row>
    <row r="547" ht="15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</row>
    <row r="548" ht="15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</row>
    <row r="549" ht="15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</row>
    <row r="550" ht="15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</row>
    <row r="551" ht="15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</row>
    <row r="552" ht="15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</row>
    <row r="553" ht="15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</row>
    <row r="554" ht="15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</row>
    <row r="555" ht="15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</row>
    <row r="556" ht="15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</row>
    <row r="557" ht="15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</row>
    <row r="558" ht="15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</row>
    <row r="559" ht="15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</row>
    <row r="560" ht="15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</row>
    <row r="561" ht="15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</row>
    <row r="562" ht="15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</row>
    <row r="563" ht="15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</row>
    <row r="564" ht="15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</row>
    <row r="565" ht="15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</row>
    <row r="566" ht="15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</row>
    <row r="567" ht="15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</row>
    <row r="568" ht="15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</row>
    <row r="569" ht="15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</row>
    <row r="570" ht="15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</row>
    <row r="571" ht="15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</row>
    <row r="572" ht="15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</row>
    <row r="573" ht="15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</row>
    <row r="574" ht="15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</row>
    <row r="575" ht="15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</row>
    <row r="576" ht="15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</row>
    <row r="577" ht="15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</row>
    <row r="578" ht="15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</row>
    <row r="579" ht="15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</row>
    <row r="580" ht="15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</row>
    <row r="581" ht="15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</row>
    <row r="582" ht="15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</row>
    <row r="583" ht="15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</row>
    <row r="584" ht="15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</row>
    <row r="585" ht="15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</row>
    <row r="586" ht="15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</row>
    <row r="587" ht="15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</row>
    <row r="588" ht="15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</row>
    <row r="589" ht="15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</row>
    <row r="590" ht="15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</row>
    <row r="591" ht="15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</row>
    <row r="592" ht="15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</row>
    <row r="593" ht="15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</row>
    <row r="594" ht="15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</row>
    <row r="595" ht="15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</row>
    <row r="596" ht="15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</row>
    <row r="597" ht="15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</row>
    <row r="598" ht="15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</row>
    <row r="599" ht="15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</row>
    <row r="600" ht="15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</row>
    <row r="601" ht="15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</row>
    <row r="602" ht="15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</row>
    <row r="603" ht="15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</row>
    <row r="604" ht="15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</row>
    <row r="605" ht="15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</row>
    <row r="606" ht="15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</row>
    <row r="607" ht="15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</row>
    <row r="608" ht="15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</row>
    <row r="609" ht="15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</row>
    <row r="610" ht="15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</row>
    <row r="611" ht="15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</row>
    <row r="612" ht="15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</row>
    <row r="613" ht="15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</row>
    <row r="614" ht="15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</row>
    <row r="615" ht="15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</row>
    <row r="616" ht="15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</row>
    <row r="617" ht="15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</row>
    <row r="618" ht="15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</row>
    <row r="619" ht="15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</row>
    <row r="620" ht="15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</row>
    <row r="621" ht="15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</row>
    <row r="622" ht="15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</row>
    <row r="623" ht="15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</row>
    <row r="624" ht="15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</row>
    <row r="625" ht="15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</row>
    <row r="626" ht="15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</row>
    <row r="627" ht="15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</row>
    <row r="628" ht="15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</row>
    <row r="629" ht="15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</row>
    <row r="630" ht="15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</row>
    <row r="631" ht="15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</row>
    <row r="632" ht="15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</row>
    <row r="633" ht="15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</row>
    <row r="634" ht="15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</row>
    <row r="635" ht="15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</row>
    <row r="636" ht="15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</row>
    <row r="637" ht="15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</row>
    <row r="638" ht="15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</row>
    <row r="639" ht="15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</row>
    <row r="640" ht="15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</row>
    <row r="641" ht="15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</row>
    <row r="642" ht="15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</row>
    <row r="643" ht="15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</row>
    <row r="644" ht="15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</row>
    <row r="645" ht="15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</row>
    <row r="646" ht="15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</row>
    <row r="647" ht="15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</row>
    <row r="648" ht="15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</row>
    <row r="649" ht="15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</row>
    <row r="650" ht="15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</row>
    <row r="651" ht="15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</row>
    <row r="652" ht="15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</row>
    <row r="653" ht="15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</row>
    <row r="654" ht="15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</row>
    <row r="655" ht="15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</row>
    <row r="656" ht="15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</row>
    <row r="657" ht="15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</row>
    <row r="658" ht="15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</row>
    <row r="659" ht="15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</row>
    <row r="660" ht="15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</row>
    <row r="661" ht="15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</row>
    <row r="662" ht="15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</row>
    <row r="663" ht="15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</row>
    <row r="664" ht="15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</row>
    <row r="665" ht="15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</row>
    <row r="666" ht="15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</row>
    <row r="667" ht="15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</row>
    <row r="668" ht="15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</row>
    <row r="669" ht="15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</row>
    <row r="670" ht="15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</row>
    <row r="671" ht="15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</row>
    <row r="672" ht="15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</row>
    <row r="673" ht="15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</row>
    <row r="674" ht="15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</row>
    <row r="675" ht="15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</row>
    <row r="676" ht="15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</row>
    <row r="677" ht="15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</row>
    <row r="678" ht="15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</row>
    <row r="679" ht="15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</row>
    <row r="680" ht="15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</row>
    <row r="681" ht="15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</row>
    <row r="682" ht="15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</row>
    <row r="683" ht="15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</row>
    <row r="684" ht="15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</row>
    <row r="685" ht="15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</row>
    <row r="686" ht="15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</row>
    <row r="687" ht="15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</row>
    <row r="688" ht="15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</row>
    <row r="689" ht="15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</row>
    <row r="690" ht="15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</row>
    <row r="691" ht="15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</row>
    <row r="692" ht="15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</row>
    <row r="693" ht="15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</row>
    <row r="694" ht="15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</row>
    <row r="695" ht="15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</row>
    <row r="696" ht="15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</row>
    <row r="697" ht="15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</row>
    <row r="698" ht="15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</row>
    <row r="699" ht="15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</row>
    <row r="700" ht="15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</row>
    <row r="701" ht="15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</row>
    <row r="702" ht="15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</row>
    <row r="703" ht="15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</row>
    <row r="704" ht="15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</row>
    <row r="705" ht="15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</row>
    <row r="706" ht="15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</row>
    <row r="707" ht="15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</row>
    <row r="708" ht="15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</row>
    <row r="709" ht="15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</row>
    <row r="710" ht="15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</row>
    <row r="711" ht="15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</row>
    <row r="712" ht="15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</row>
    <row r="713" ht="15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</row>
    <row r="714" ht="15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</row>
    <row r="715" ht="15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</row>
    <row r="716" ht="15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</row>
    <row r="717" ht="15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</row>
    <row r="718" ht="15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</row>
    <row r="719" ht="15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</row>
    <row r="720" ht="15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</row>
    <row r="721" ht="15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</row>
    <row r="722" ht="15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</row>
    <row r="723" ht="15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</row>
    <row r="724" ht="15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</row>
    <row r="725" ht="15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</row>
    <row r="726" ht="15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</row>
    <row r="727" ht="15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</row>
    <row r="728" ht="15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</row>
    <row r="729" ht="15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</row>
    <row r="730" ht="15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</row>
    <row r="731" ht="15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</row>
    <row r="732" ht="15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</row>
    <row r="733" ht="15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</row>
    <row r="734" ht="15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</row>
    <row r="735" ht="15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</row>
    <row r="736" ht="15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</row>
    <row r="737" ht="15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</row>
    <row r="738" ht="15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</row>
    <row r="739" ht="15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</row>
    <row r="740" ht="15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</row>
    <row r="741" ht="15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</row>
    <row r="742" ht="15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</row>
    <row r="743" ht="15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</row>
    <row r="744" ht="15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</row>
    <row r="745" ht="15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</row>
    <row r="746" ht="15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</row>
    <row r="747" ht="15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</row>
    <row r="748" ht="15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</row>
    <row r="749" ht="15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</row>
    <row r="750" ht="15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</row>
    <row r="751" ht="15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</row>
    <row r="752" ht="15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</row>
    <row r="753" ht="15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</row>
    <row r="754" ht="15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</row>
    <row r="755" ht="15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</row>
    <row r="756" ht="15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</row>
    <row r="757" ht="15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</row>
    <row r="758" ht="15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</row>
    <row r="759" ht="15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</row>
    <row r="760" ht="15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</row>
    <row r="761" ht="15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</row>
    <row r="762" ht="15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</row>
    <row r="763" ht="15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</row>
    <row r="764" ht="15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</row>
    <row r="765" ht="15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</row>
    <row r="766" ht="15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</row>
    <row r="767" ht="15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</row>
    <row r="768" ht="15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</row>
    <row r="769" ht="15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</row>
    <row r="770" ht="15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</row>
    <row r="771" ht="15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</row>
    <row r="772" ht="15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</row>
    <row r="773" ht="15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</row>
    <row r="774" ht="15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</row>
    <row r="775" ht="15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</row>
    <row r="776" ht="15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</row>
    <row r="777" ht="15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</row>
    <row r="778" ht="15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</row>
    <row r="779" ht="15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</row>
    <row r="780" ht="15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</row>
    <row r="781" ht="15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</row>
    <row r="782" ht="15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</row>
    <row r="783" ht="15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</row>
    <row r="784" ht="15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</row>
    <row r="785" ht="15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</row>
    <row r="786" ht="15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</row>
    <row r="787" ht="15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</row>
    <row r="788" ht="15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</row>
    <row r="789" ht="15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</row>
    <row r="790" ht="15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</row>
    <row r="791" ht="15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</row>
    <row r="792" ht="15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</row>
    <row r="793" ht="15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</row>
    <row r="794" ht="15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</row>
    <row r="795" ht="15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</row>
    <row r="796" ht="15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</row>
    <row r="797" ht="15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</row>
    <row r="798" ht="15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</row>
    <row r="799" ht="15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</row>
    <row r="800" ht="15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</row>
    <row r="801" ht="15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</row>
    <row r="802" ht="15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</row>
    <row r="803" ht="15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</row>
    <row r="804" ht="15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</row>
    <row r="805" ht="15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</row>
    <row r="806" ht="15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</row>
    <row r="807" ht="15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</row>
    <row r="808" ht="15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</row>
    <row r="809" ht="15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</row>
    <row r="810" ht="15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</row>
    <row r="811" ht="15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</row>
    <row r="812" ht="15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</row>
    <row r="813" ht="15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</row>
    <row r="814" ht="15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</row>
    <row r="815" ht="15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</row>
    <row r="816" ht="15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</row>
    <row r="817" ht="15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</row>
    <row r="818" ht="15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</row>
    <row r="819" ht="15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</row>
    <row r="820" ht="15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</row>
    <row r="821" ht="15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</row>
    <row r="822" ht="15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</row>
    <row r="823" ht="15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</row>
    <row r="824" ht="15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</row>
    <row r="825" ht="15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</row>
    <row r="826" ht="15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</row>
    <row r="827" ht="15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</row>
    <row r="828" ht="15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</row>
    <row r="829" ht="15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</row>
    <row r="830" ht="15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</row>
    <row r="831" ht="15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</row>
    <row r="832" ht="15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</row>
    <row r="833" ht="15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</row>
    <row r="834" ht="15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</row>
    <row r="835" ht="15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</row>
    <row r="836" ht="15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</row>
    <row r="837" ht="15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</row>
    <row r="838" ht="15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</row>
    <row r="839" ht="15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</row>
    <row r="840" ht="15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</row>
    <row r="841" ht="15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</row>
    <row r="842" ht="15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</row>
    <row r="843" ht="15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</row>
    <row r="844" ht="15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</row>
    <row r="845" ht="15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  <c r="AG845" s="118"/>
    </row>
    <row r="846" ht="15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  <c r="AG846" s="118"/>
    </row>
    <row r="847" ht="15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  <c r="AG847" s="118"/>
    </row>
    <row r="848" ht="15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  <c r="AG848" s="118"/>
    </row>
    <row r="849" ht="15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  <c r="AG849" s="118"/>
    </row>
    <row r="850" ht="15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  <c r="AG850" s="118"/>
    </row>
    <row r="851" ht="15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  <c r="AG851" s="118"/>
    </row>
    <row r="852" ht="15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  <c r="AG852" s="118"/>
    </row>
    <row r="853" ht="15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  <c r="AG853" s="118"/>
    </row>
    <row r="854" ht="15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  <c r="AG854" s="118"/>
    </row>
    <row r="855" ht="15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  <c r="AG855" s="118"/>
    </row>
    <row r="856" ht="15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</row>
    <row r="857" ht="15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</row>
    <row r="858" ht="15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</row>
    <row r="859" ht="15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</row>
    <row r="860" ht="15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</row>
    <row r="861" ht="15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</row>
    <row r="862" ht="15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</row>
    <row r="863" ht="15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</row>
    <row r="864" ht="15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</row>
    <row r="865" ht="15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</row>
    <row r="866" ht="15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</row>
    <row r="867" ht="15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</row>
    <row r="868" ht="15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</row>
    <row r="869" ht="15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</row>
    <row r="870" ht="15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</row>
    <row r="871" ht="15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</row>
    <row r="872" ht="15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</row>
    <row r="873" ht="15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</row>
    <row r="874" ht="15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</row>
    <row r="875" ht="15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</row>
    <row r="876" ht="15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</row>
    <row r="877" ht="15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  <c r="AG877" s="118"/>
    </row>
    <row r="878" ht="15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  <c r="AG878" s="118"/>
    </row>
    <row r="879" ht="15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  <c r="AG879" s="118"/>
    </row>
    <row r="880" ht="15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  <c r="AG880" s="118"/>
    </row>
    <row r="881" ht="15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  <c r="AG881" s="118"/>
    </row>
    <row r="882" ht="15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  <c r="AG882" s="118"/>
    </row>
    <row r="883" ht="15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  <c r="AG883" s="118"/>
    </row>
    <row r="884" ht="15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  <c r="AG884" s="118"/>
    </row>
    <row r="885" ht="15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  <c r="AG885" s="118"/>
    </row>
    <row r="886" ht="15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  <c r="AG886" s="118"/>
    </row>
    <row r="887" ht="15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</row>
    <row r="888" ht="15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  <c r="AG888" s="118"/>
    </row>
    <row r="889" ht="15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  <c r="AG889" s="118"/>
    </row>
    <row r="890" ht="15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  <c r="AG890" s="118"/>
    </row>
    <row r="891" ht="15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  <c r="AG891" s="118"/>
    </row>
    <row r="892" ht="15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  <c r="AG892" s="118"/>
    </row>
    <row r="893" ht="15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  <c r="AG893" s="118"/>
    </row>
    <row r="894" ht="15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  <c r="AG894" s="118"/>
    </row>
    <row r="895" ht="15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  <c r="AG895" s="118"/>
    </row>
    <row r="896" ht="15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  <c r="AG896" s="118"/>
    </row>
    <row r="897" ht="15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  <c r="AG897" s="118"/>
    </row>
    <row r="898" ht="15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  <c r="AG898" s="118"/>
    </row>
    <row r="899" ht="15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  <c r="AG899" s="118"/>
    </row>
    <row r="900" ht="15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  <c r="AG900" s="118"/>
    </row>
    <row r="901" ht="15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  <c r="AG901" s="118"/>
    </row>
    <row r="902" ht="15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  <c r="AG902" s="118"/>
    </row>
    <row r="903" ht="15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  <c r="AG903" s="118"/>
    </row>
    <row r="904" ht="15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  <c r="AG904" s="118"/>
    </row>
    <row r="905" ht="15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  <c r="AG905" s="118"/>
    </row>
    <row r="906" ht="15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  <c r="AG906" s="118"/>
    </row>
    <row r="907" ht="15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  <c r="AG907" s="118"/>
    </row>
    <row r="908" ht="15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  <c r="AG908" s="118"/>
    </row>
    <row r="909" ht="15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  <c r="AG909" s="118"/>
    </row>
    <row r="910" ht="15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  <c r="AG910" s="118"/>
    </row>
    <row r="911" ht="15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  <c r="AG911" s="118"/>
    </row>
    <row r="912" ht="15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  <c r="AG912" s="118"/>
    </row>
    <row r="913" ht="15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  <c r="AG913" s="118"/>
    </row>
    <row r="914" ht="15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  <c r="AG914" s="118"/>
    </row>
    <row r="915" ht="15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  <c r="AG915" s="118"/>
    </row>
    <row r="916" ht="15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  <c r="AG916" s="118"/>
    </row>
    <row r="917" ht="15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  <c r="AG917" s="118"/>
    </row>
    <row r="918" ht="15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  <c r="AG918" s="118"/>
    </row>
    <row r="919" ht="15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  <c r="AG919" s="118"/>
    </row>
    <row r="920" ht="15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  <c r="AG920" s="118"/>
    </row>
    <row r="921" ht="15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  <c r="AG921" s="118"/>
    </row>
    <row r="922" ht="15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  <c r="AG922" s="118"/>
    </row>
    <row r="923" ht="15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  <c r="AG923" s="118"/>
    </row>
    <row r="924" ht="15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  <c r="AG924" s="118"/>
    </row>
    <row r="925" ht="15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  <c r="AG925" s="118"/>
    </row>
    <row r="926" ht="15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  <c r="AG926" s="118"/>
    </row>
    <row r="927" ht="15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  <c r="AG927" s="118"/>
    </row>
    <row r="928" ht="15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  <c r="AF928" s="118"/>
      <c r="AG928" s="118"/>
    </row>
    <row r="929" ht="15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  <c r="AF929" s="118"/>
      <c r="AG929" s="118"/>
    </row>
    <row r="930" ht="15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  <c r="AF930" s="118"/>
      <c r="AG930" s="118"/>
    </row>
    <row r="931" ht="15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  <c r="AF931" s="118"/>
      <c r="AG931" s="118"/>
    </row>
    <row r="932" ht="15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  <c r="AF932" s="118"/>
      <c r="AG932" s="118"/>
    </row>
    <row r="933" ht="15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  <c r="AF933" s="118"/>
      <c r="AG933" s="118"/>
    </row>
    <row r="934" ht="15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  <c r="AF934" s="118"/>
      <c r="AG934" s="118"/>
    </row>
    <row r="935" ht="15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  <c r="AF935" s="118"/>
      <c r="AG935" s="118"/>
    </row>
    <row r="936" ht="15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  <c r="AF936" s="118"/>
      <c r="AG936" s="118"/>
    </row>
    <row r="937" ht="15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  <c r="AF937" s="118"/>
      <c r="AG937" s="118"/>
    </row>
    <row r="938" ht="15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  <c r="AF938" s="118"/>
      <c r="AG938" s="118"/>
    </row>
    <row r="939" ht="15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  <c r="AF939" s="118"/>
      <c r="AG939" s="118"/>
    </row>
    <row r="940" ht="15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  <c r="AF940" s="118"/>
      <c r="AG940" s="118"/>
    </row>
    <row r="941" ht="15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  <c r="AF941" s="118"/>
      <c r="AG941" s="118"/>
    </row>
    <row r="942" ht="15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  <c r="AF942" s="118"/>
      <c r="AG942" s="118"/>
    </row>
    <row r="943" ht="15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  <c r="AF943" s="118"/>
      <c r="AG943" s="118"/>
    </row>
    <row r="944" ht="15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  <c r="AG944" s="118"/>
    </row>
    <row r="945" ht="15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  <c r="AG945" s="118"/>
    </row>
    <row r="946" ht="15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  <c r="AG946" s="118"/>
    </row>
    <row r="947" ht="15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  <c r="AG947" s="118"/>
    </row>
    <row r="948" ht="15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  <c r="AG948" s="118"/>
    </row>
    <row r="949" ht="15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  <c r="AG949" s="118"/>
    </row>
    <row r="950" ht="15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  <c r="AG950" s="118"/>
    </row>
    <row r="951" ht="15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  <c r="AG951" s="118"/>
    </row>
    <row r="952" ht="15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  <c r="AG952" s="118"/>
    </row>
    <row r="953" ht="15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  <c r="AG953" s="118"/>
    </row>
    <row r="954" ht="15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  <c r="AG954" s="118"/>
    </row>
    <row r="955" ht="15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  <c r="AG955" s="118"/>
    </row>
    <row r="956" ht="15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  <c r="AG956" s="118"/>
    </row>
    <row r="957" ht="15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  <c r="AG957" s="118"/>
    </row>
    <row r="958" ht="15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  <c r="AG958" s="118"/>
    </row>
    <row r="959" ht="15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  <c r="AG959" s="118"/>
    </row>
    <row r="960" ht="15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  <c r="AG960" s="118"/>
    </row>
    <row r="961" ht="15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  <c r="AG961" s="118"/>
    </row>
    <row r="962" ht="15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  <c r="AG962" s="118"/>
    </row>
    <row r="963" ht="15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  <c r="AG963" s="118"/>
    </row>
    <row r="964" ht="15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  <c r="AG964" s="118"/>
    </row>
    <row r="965" ht="15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  <c r="AG965" s="118"/>
    </row>
    <row r="966" ht="15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  <c r="AG966" s="118"/>
    </row>
    <row r="967" ht="15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  <c r="AG967" s="118"/>
    </row>
    <row r="968" ht="15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  <c r="AG968" s="118"/>
    </row>
    <row r="969" ht="15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  <c r="AG969" s="118"/>
    </row>
    <row r="970" ht="15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  <c r="AG970" s="118"/>
    </row>
    <row r="971" ht="15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  <c r="AG971" s="118"/>
    </row>
    <row r="972" ht="15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  <c r="AG972" s="118"/>
    </row>
    <row r="973" ht="15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  <c r="AG973" s="118"/>
    </row>
    <row r="974" ht="15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  <c r="AG974" s="118"/>
    </row>
    <row r="975" ht="15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  <c r="AG975" s="118"/>
    </row>
    <row r="976" ht="15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  <c r="AG976" s="118"/>
    </row>
    <row r="977" ht="15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  <c r="AG977" s="118"/>
    </row>
    <row r="978" ht="15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  <c r="AG978" s="118"/>
    </row>
    <row r="979" ht="15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  <c r="AG979" s="118"/>
    </row>
    <row r="980" ht="15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  <c r="AG980" s="118"/>
    </row>
    <row r="981" ht="15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  <c r="AG981" s="118"/>
    </row>
    <row r="982" ht="15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  <c r="AG982" s="118"/>
    </row>
    <row r="983" ht="15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  <c r="AG983" s="118"/>
    </row>
    <row r="984" ht="15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  <c r="AG984" s="118"/>
    </row>
    <row r="985" ht="15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  <c r="AG985" s="118"/>
    </row>
    <row r="986" ht="15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  <c r="AG986" s="118"/>
    </row>
    <row r="987" ht="15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  <c r="AG987" s="118"/>
    </row>
    <row r="988" ht="15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  <c r="AG988" s="118"/>
    </row>
    <row r="989" ht="15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  <c r="AF989" s="118"/>
      <c r="AG989" s="118"/>
    </row>
    <row r="990" ht="15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  <c r="AG990" s="118"/>
    </row>
    <row r="991" ht="15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  <c r="AF991" s="118"/>
      <c r="AG991" s="118"/>
    </row>
    <row r="992" ht="15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  <c r="AF992" s="118"/>
      <c r="AG992" s="118"/>
    </row>
    <row r="993" ht="15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  <c r="AF993" s="118"/>
      <c r="AG993" s="118"/>
    </row>
    <row r="994" ht="15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  <c r="AF994" s="118"/>
      <c r="AG994" s="118"/>
    </row>
    <row r="995" ht="15.7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  <c r="AF995" s="118"/>
      <c r="AG995" s="118"/>
    </row>
    <row r="996" ht="15.7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  <c r="AF996" s="118"/>
      <c r="AG996" s="118"/>
    </row>
    <row r="997" ht="15.7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  <c r="AF997" s="118"/>
      <c r="AG997" s="118"/>
    </row>
    <row r="998" ht="15.7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  <c r="AF998" s="118"/>
      <c r="AG998" s="118"/>
    </row>
    <row r="999" ht="15.75" customHeight="1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  <c r="AE999" s="118"/>
      <c r="AF999" s="118"/>
      <c r="AG999" s="118"/>
    </row>
    <row r="1000" ht="15.75" customHeight="1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18"/>
      <c r="AC1000" s="118"/>
      <c r="AD1000" s="118"/>
      <c r="AE1000" s="118"/>
      <c r="AF1000" s="118"/>
      <c r="AG1000" s="118"/>
    </row>
  </sheetData>
  <mergeCells count="24">
    <mergeCell ref="B1:J1"/>
    <mergeCell ref="K1:M1"/>
    <mergeCell ref="R2:S2"/>
    <mergeCell ref="R3:S3"/>
    <mergeCell ref="R4:S4"/>
    <mergeCell ref="R5:S5"/>
    <mergeCell ref="R6:S6"/>
    <mergeCell ref="R7:S7"/>
    <mergeCell ref="R8:S8"/>
    <mergeCell ref="R10:S10"/>
    <mergeCell ref="R11:S11"/>
    <mergeCell ref="R12:S12"/>
    <mergeCell ref="R13:S13"/>
    <mergeCell ref="R14:S14"/>
    <mergeCell ref="R24:S24"/>
    <mergeCell ref="Q27:S27"/>
    <mergeCell ref="P32:Q32"/>
    <mergeCell ref="R15:S15"/>
    <mergeCell ref="R16:S16"/>
    <mergeCell ref="R17:S17"/>
    <mergeCell ref="Q20:S20"/>
    <mergeCell ref="R21:S21"/>
    <mergeCell ref="R22:S22"/>
    <mergeCell ref="R23:S23"/>
  </mergeCells>
  <printOptions/>
  <pageMargins bottom="0.75" footer="0.0" header="0.0" left="0.25" right="0.25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1.57"/>
    <col customWidth="1" min="2" max="2" width="14.71"/>
    <col customWidth="1" min="3" max="4" width="21.57"/>
    <col customWidth="1" min="5" max="5" width="13.29"/>
    <col customWidth="1" min="6" max="6" width="7.43"/>
    <col customWidth="1" min="7" max="7" width="13.29"/>
    <col customWidth="1" min="8" max="8" width="13.71"/>
    <col customWidth="1" min="9" max="9" width="5.86"/>
    <col customWidth="1" min="10" max="10" width="13.71"/>
    <col customWidth="1" min="11" max="11" width="8.43"/>
    <col customWidth="1" min="12" max="12" width="6.71"/>
    <col customWidth="1" min="13" max="13" width="8.14"/>
    <col customWidth="1" min="14" max="15" width="7.14"/>
    <col customWidth="1" min="16" max="16" width="45.71"/>
    <col customWidth="1" min="17" max="17" width="17.0"/>
    <col customWidth="1" min="18" max="18" width="8.86"/>
    <col customWidth="1" min="19" max="19" width="11.57"/>
    <col customWidth="1" min="20" max="33" width="8.86"/>
  </cols>
  <sheetData>
    <row r="1" ht="40.5" customHeight="1">
      <c r="A1" s="157"/>
      <c r="B1" s="158" t="s">
        <v>219</v>
      </c>
      <c r="C1" s="3"/>
      <c r="D1" s="3"/>
      <c r="E1" s="3"/>
      <c r="F1" s="3"/>
      <c r="G1" s="3"/>
      <c r="H1" s="3"/>
      <c r="I1" s="3"/>
      <c r="J1" s="4"/>
      <c r="K1" s="5" t="s">
        <v>1</v>
      </c>
      <c r="L1" s="3"/>
      <c r="M1" s="4"/>
      <c r="N1" s="6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</row>
    <row r="2" ht="38.25" customHeight="1">
      <c r="A2" s="8" t="s">
        <v>2</v>
      </c>
      <c r="B2" s="11" t="s">
        <v>3</v>
      </c>
      <c r="C2" s="12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3" t="s">
        <v>12</v>
      </c>
      <c r="L2" s="13" t="s">
        <v>13</v>
      </c>
      <c r="M2" s="159" t="s">
        <v>14</v>
      </c>
      <c r="N2" s="14" t="s">
        <v>15</v>
      </c>
      <c r="O2" s="160" t="s">
        <v>16</v>
      </c>
      <c r="P2" s="118"/>
      <c r="Q2" s="123" t="s">
        <v>17</v>
      </c>
      <c r="R2" s="161" t="s">
        <v>18</v>
      </c>
      <c r="S2" s="162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</row>
    <row r="3" outlineLevel="1">
      <c r="A3" s="19" t="b">
        <v>1</v>
      </c>
      <c r="B3" s="34" t="s">
        <v>220</v>
      </c>
      <c r="C3" s="35" t="s">
        <v>20</v>
      </c>
      <c r="D3" s="34" t="s">
        <v>21</v>
      </c>
      <c r="E3" s="34">
        <v>8.0</v>
      </c>
      <c r="F3" s="34">
        <v>2.0</v>
      </c>
      <c r="G3" s="34" t="s">
        <v>37</v>
      </c>
      <c r="H3" s="34" t="s">
        <v>31</v>
      </c>
      <c r="I3" s="34" t="s">
        <v>23</v>
      </c>
      <c r="J3" s="128">
        <v>46086.0</v>
      </c>
      <c r="K3" s="19" t="b">
        <v>1</v>
      </c>
      <c r="L3" s="19" t="b">
        <v>1</v>
      </c>
      <c r="M3" s="19" t="b">
        <v>1</v>
      </c>
      <c r="N3" s="19" t="b">
        <v>1</v>
      </c>
      <c r="O3" s="19" t="b">
        <v>0</v>
      </c>
      <c r="P3" s="118"/>
      <c r="Q3" s="125" t="s">
        <v>27</v>
      </c>
      <c r="R3" s="127" t="s">
        <v>28</v>
      </c>
      <c r="S3" s="33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</row>
    <row r="4" outlineLevel="1">
      <c r="A4" s="19" t="b">
        <v>0</v>
      </c>
      <c r="B4" s="27" t="s">
        <v>221</v>
      </c>
      <c r="C4" s="28" t="s">
        <v>122</v>
      </c>
      <c r="D4" s="27" t="s">
        <v>21</v>
      </c>
      <c r="E4" s="27">
        <v>5.5</v>
      </c>
      <c r="F4" s="27">
        <v>2.0</v>
      </c>
      <c r="G4" s="30" t="s">
        <v>30</v>
      </c>
      <c r="H4" s="27" t="s">
        <v>31</v>
      </c>
      <c r="I4" s="27" t="s">
        <v>31</v>
      </c>
      <c r="J4" s="163">
        <v>46087.0</v>
      </c>
      <c r="K4" s="19" t="b">
        <v>1</v>
      </c>
      <c r="L4" s="19" t="b">
        <v>1</v>
      </c>
      <c r="M4" s="19" t="b">
        <v>1</v>
      </c>
      <c r="N4" s="19" t="b">
        <v>1</v>
      </c>
      <c r="O4" s="19" t="b">
        <v>0</v>
      </c>
      <c r="P4" s="130"/>
      <c r="Q4" s="125"/>
      <c r="R4" s="125"/>
      <c r="S4" s="125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</row>
    <row r="5" outlineLevel="1">
      <c r="A5" s="19" t="b">
        <v>0</v>
      </c>
      <c r="B5" s="34" t="s">
        <v>222</v>
      </c>
      <c r="C5" s="35" t="s">
        <v>20</v>
      </c>
      <c r="D5" s="34" t="s">
        <v>21</v>
      </c>
      <c r="E5" s="34">
        <v>2.0</v>
      </c>
      <c r="F5" s="34">
        <v>1.0</v>
      </c>
      <c r="G5" s="34" t="s">
        <v>223</v>
      </c>
      <c r="H5" s="34" t="s">
        <v>23</v>
      </c>
      <c r="I5" s="34" t="s">
        <v>23</v>
      </c>
      <c r="J5" s="134">
        <v>45364.0</v>
      </c>
      <c r="K5" s="19" t="b">
        <v>0</v>
      </c>
      <c r="L5" s="19" t="b">
        <v>0</v>
      </c>
      <c r="M5" s="19" t="b">
        <v>0</v>
      </c>
      <c r="N5" s="19" t="b">
        <v>0</v>
      </c>
      <c r="O5" s="19" t="b">
        <v>0</v>
      </c>
      <c r="P5" s="130" t="s">
        <v>224</v>
      </c>
      <c r="Q5" s="34" t="s">
        <v>34</v>
      </c>
      <c r="R5" s="129" t="s">
        <v>35</v>
      </c>
      <c r="S5" s="39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</row>
    <row r="6" outlineLevel="1">
      <c r="A6" s="19" t="b">
        <v>0</v>
      </c>
      <c r="B6" s="34" t="s">
        <v>225</v>
      </c>
      <c r="C6" s="35" t="s">
        <v>20</v>
      </c>
      <c r="D6" s="34" t="s">
        <v>21</v>
      </c>
      <c r="E6" s="34">
        <v>6.0</v>
      </c>
      <c r="F6" s="34">
        <v>2.0</v>
      </c>
      <c r="G6" s="34" t="s">
        <v>226</v>
      </c>
      <c r="H6" s="34" t="s">
        <v>31</v>
      </c>
      <c r="I6" s="34" t="s">
        <v>31</v>
      </c>
      <c r="J6" s="128">
        <v>46093.0</v>
      </c>
      <c r="K6" s="19" t="b">
        <v>1</v>
      </c>
      <c r="L6" s="19" t="b">
        <v>1</v>
      </c>
      <c r="M6" s="19" t="b">
        <v>1</v>
      </c>
      <c r="N6" s="19" t="b">
        <v>1</v>
      </c>
      <c r="O6" s="19" t="b">
        <v>0</v>
      </c>
      <c r="P6" s="130" t="s">
        <v>227</v>
      </c>
      <c r="Q6" s="34" t="s">
        <v>39</v>
      </c>
      <c r="R6" s="129" t="s">
        <v>40</v>
      </c>
      <c r="S6" s="39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</row>
    <row r="7" outlineLevel="1">
      <c r="A7" s="19" t="b">
        <v>0</v>
      </c>
      <c r="B7" s="34" t="s">
        <v>228</v>
      </c>
      <c r="C7" s="35" t="s">
        <v>20</v>
      </c>
      <c r="D7" s="34" t="s">
        <v>21</v>
      </c>
      <c r="E7" s="34">
        <v>1.0</v>
      </c>
      <c r="F7" s="34">
        <v>1.0</v>
      </c>
      <c r="G7" s="34" t="s">
        <v>39</v>
      </c>
      <c r="H7" s="34" t="s">
        <v>23</v>
      </c>
      <c r="I7" s="34" t="s">
        <v>23</v>
      </c>
      <c r="J7" s="105" t="s">
        <v>229</v>
      </c>
      <c r="K7" s="19" t="b">
        <v>0</v>
      </c>
      <c r="L7" s="19" t="b">
        <v>0</v>
      </c>
      <c r="M7" s="19" t="b">
        <v>0</v>
      </c>
      <c r="N7" s="19" t="b">
        <v>0</v>
      </c>
      <c r="O7" s="19" t="b">
        <v>0</v>
      </c>
      <c r="P7" s="130"/>
      <c r="Q7" s="34" t="s">
        <v>42</v>
      </c>
      <c r="R7" s="129" t="s">
        <v>43</v>
      </c>
      <c r="S7" s="39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</row>
    <row r="8" outlineLevel="1">
      <c r="A8" s="19" t="b">
        <v>0</v>
      </c>
      <c r="B8" s="34" t="s">
        <v>230</v>
      </c>
      <c r="C8" s="35" t="s">
        <v>20</v>
      </c>
      <c r="D8" s="35" t="s">
        <v>231</v>
      </c>
      <c r="E8" s="34">
        <v>1.5</v>
      </c>
      <c r="F8" s="34">
        <v>1.0</v>
      </c>
      <c r="G8" s="34" t="s">
        <v>61</v>
      </c>
      <c r="H8" s="34" t="s">
        <v>23</v>
      </c>
      <c r="I8" s="34" t="s">
        <v>23</v>
      </c>
      <c r="J8" s="105" t="s">
        <v>232</v>
      </c>
      <c r="K8" s="19" t="b">
        <v>0</v>
      </c>
      <c r="L8" s="19" t="b">
        <v>0</v>
      </c>
      <c r="M8" s="19" t="b">
        <v>0</v>
      </c>
      <c r="N8" s="19" t="b">
        <v>0</v>
      </c>
      <c r="O8" s="19" t="b">
        <v>0</v>
      </c>
      <c r="P8" s="49" t="s">
        <v>233</v>
      </c>
      <c r="Q8" s="50" t="s">
        <v>47</v>
      </c>
      <c r="R8" s="51" t="s">
        <v>48</v>
      </c>
      <c r="S8" s="39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</row>
    <row r="9" ht="15.0" customHeight="1" outlineLevel="1">
      <c r="A9" s="19" t="b">
        <v>0</v>
      </c>
      <c r="B9" s="27" t="s">
        <v>234</v>
      </c>
      <c r="C9" s="28" t="s">
        <v>20</v>
      </c>
      <c r="D9" s="27" t="s">
        <v>21</v>
      </c>
      <c r="E9" s="27">
        <v>2.5</v>
      </c>
      <c r="F9" s="29">
        <v>2.0</v>
      </c>
      <c r="G9" s="30" t="s">
        <v>70</v>
      </c>
      <c r="H9" s="29" t="s">
        <v>23</v>
      </c>
      <c r="I9" s="29" t="s">
        <v>31</v>
      </c>
      <c r="J9" s="164">
        <v>46113.0</v>
      </c>
      <c r="K9" s="19" t="b">
        <v>0</v>
      </c>
      <c r="L9" s="19" t="b">
        <v>0</v>
      </c>
      <c r="M9" s="19" t="b">
        <v>0</v>
      </c>
      <c r="N9" s="19" t="b">
        <v>0</v>
      </c>
      <c r="O9" s="19" t="b">
        <v>0</v>
      </c>
      <c r="P9" s="118"/>
      <c r="Q9" s="132"/>
      <c r="R9" s="132"/>
      <c r="S9" s="132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</row>
    <row r="10" ht="15.0" customHeight="1" outlineLevel="1">
      <c r="A10" s="19" t="b">
        <v>1</v>
      </c>
      <c r="B10" s="34" t="s">
        <v>235</v>
      </c>
      <c r="C10" s="35" t="s">
        <v>20</v>
      </c>
      <c r="D10" s="34" t="s">
        <v>21</v>
      </c>
      <c r="E10" s="34">
        <v>2.5</v>
      </c>
      <c r="F10" s="34">
        <v>2.0</v>
      </c>
      <c r="G10" s="34" t="s">
        <v>113</v>
      </c>
      <c r="H10" s="34" t="s">
        <v>23</v>
      </c>
      <c r="I10" s="34" t="s">
        <v>31</v>
      </c>
      <c r="J10" s="165" t="s">
        <v>236</v>
      </c>
      <c r="K10" s="19" t="b">
        <v>0</v>
      </c>
      <c r="L10" s="19" t="b">
        <v>0</v>
      </c>
      <c r="M10" s="19" t="b">
        <v>0</v>
      </c>
      <c r="N10" s="19" t="b">
        <v>0</v>
      </c>
      <c r="O10" s="19" t="b">
        <v>0</v>
      </c>
      <c r="P10" s="118"/>
      <c r="Q10" s="16" t="s">
        <v>154</v>
      </c>
      <c r="R10" s="17" t="s">
        <v>52</v>
      </c>
      <c r="S10" s="53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</row>
    <row r="11" ht="27.75" customHeight="1" outlineLevel="1">
      <c r="A11" s="19" t="b">
        <v>0</v>
      </c>
      <c r="B11" s="34" t="s">
        <v>237</v>
      </c>
      <c r="C11" s="35" t="s">
        <v>26</v>
      </c>
      <c r="D11" s="34" t="s">
        <v>238</v>
      </c>
      <c r="E11" s="35">
        <v>0.0</v>
      </c>
      <c r="F11" s="35">
        <v>0.0</v>
      </c>
      <c r="G11" s="34" t="s">
        <v>181</v>
      </c>
      <c r="H11" s="34" t="s">
        <v>31</v>
      </c>
      <c r="I11" s="34" t="s">
        <v>23</v>
      </c>
      <c r="J11" s="134">
        <v>45364.0</v>
      </c>
      <c r="K11" s="19" t="b">
        <v>0</v>
      </c>
      <c r="L11" s="19" t="b">
        <v>0</v>
      </c>
      <c r="M11" s="19" t="b">
        <v>0</v>
      </c>
      <c r="N11" s="19" t="b">
        <v>0</v>
      </c>
      <c r="O11" s="19" t="b">
        <v>0</v>
      </c>
      <c r="P11" s="118"/>
      <c r="Q11" s="60" t="str">
        <f t="shared" ref="Q11:R11" si="1">#REF!</f>
        <v>#REF!</v>
      </c>
      <c r="R11" s="61" t="str">
        <f t="shared" si="1"/>
        <v>#REF!</v>
      </c>
      <c r="S11" s="33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</row>
    <row r="12" outlineLevel="1">
      <c r="A12" s="19" t="b">
        <v>0</v>
      </c>
      <c r="B12" s="27" t="s">
        <v>239</v>
      </c>
      <c r="C12" s="28" t="s">
        <v>20</v>
      </c>
      <c r="D12" s="27" t="s">
        <v>21</v>
      </c>
      <c r="E12" s="27">
        <v>1.0</v>
      </c>
      <c r="F12" s="29">
        <v>1.0</v>
      </c>
      <c r="G12" s="30" t="s">
        <v>22</v>
      </c>
      <c r="H12" s="29" t="s">
        <v>23</v>
      </c>
      <c r="I12" s="29" t="s">
        <v>23</v>
      </c>
      <c r="J12" s="166" t="s">
        <v>240</v>
      </c>
      <c r="K12" s="19" t="b">
        <v>0</v>
      </c>
      <c r="L12" s="19" t="b">
        <v>0</v>
      </c>
      <c r="M12" s="19" t="b">
        <v>0</v>
      </c>
      <c r="N12" s="19" t="b">
        <v>0</v>
      </c>
      <c r="O12" s="19" t="b">
        <v>0</v>
      </c>
      <c r="P12" s="118"/>
      <c r="Q12" s="60"/>
      <c r="R12" s="167"/>
      <c r="S12" s="167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</row>
    <row r="13" outlineLevel="1">
      <c r="A13" s="19" t="b">
        <v>0</v>
      </c>
      <c r="B13" s="34" t="s">
        <v>241</v>
      </c>
      <c r="C13" s="35" t="s">
        <v>77</v>
      </c>
      <c r="D13" s="34" t="s">
        <v>21</v>
      </c>
      <c r="E13" s="34">
        <v>2.5</v>
      </c>
      <c r="F13" s="34">
        <v>2.0</v>
      </c>
      <c r="G13" s="34" t="s">
        <v>226</v>
      </c>
      <c r="H13" s="34" t="s">
        <v>23</v>
      </c>
      <c r="I13" s="34" t="s">
        <v>23</v>
      </c>
      <c r="J13" s="128">
        <v>46091.0</v>
      </c>
      <c r="K13" s="19" t="b">
        <v>1</v>
      </c>
      <c r="L13" s="19" t="b">
        <v>1</v>
      </c>
      <c r="M13" s="19" t="b">
        <v>1</v>
      </c>
      <c r="N13" s="19" t="b">
        <v>1</v>
      </c>
      <c r="O13" s="19" t="b">
        <v>1</v>
      </c>
      <c r="P13" s="118"/>
      <c r="Q13" s="135" t="str">
        <f>#REF!</f>
        <v>#REF!</v>
      </c>
      <c r="R13" s="75" t="str">
        <f>JAN!R9</f>
        <v>STAMPS HELD</v>
      </c>
      <c r="S13" s="39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</row>
    <row r="14" outlineLevel="1">
      <c r="A14" s="19" t="b">
        <v>1</v>
      </c>
      <c r="B14" s="34" t="s">
        <v>242</v>
      </c>
      <c r="C14" s="35" t="s">
        <v>20</v>
      </c>
      <c r="D14" s="34" t="s">
        <v>21</v>
      </c>
      <c r="E14" s="34">
        <v>2.5</v>
      </c>
      <c r="F14" s="34">
        <v>2.0</v>
      </c>
      <c r="G14" s="34" t="s">
        <v>70</v>
      </c>
      <c r="H14" s="34" t="s">
        <v>23</v>
      </c>
      <c r="I14" s="34" t="s">
        <v>31</v>
      </c>
      <c r="J14" s="105" t="s">
        <v>243</v>
      </c>
      <c r="K14" s="19" t="b">
        <v>0</v>
      </c>
      <c r="L14" s="19" t="b">
        <v>0</v>
      </c>
      <c r="M14" s="19" t="b">
        <v>0</v>
      </c>
      <c r="N14" s="19" t="b">
        <v>0</v>
      </c>
      <c r="O14" s="19" t="b">
        <v>0</v>
      </c>
      <c r="P14" s="118"/>
      <c r="Q14" s="135" t="str">
        <f>JAN!Q10</f>
        <v>RS</v>
      </c>
      <c r="R14" s="137" t="str">
        <f>JAN!R10</f>
        <v>FA, WA, EX, EM</v>
      </c>
      <c r="S14" s="39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</row>
    <row r="15" outlineLevel="1">
      <c r="A15" s="19" t="b">
        <v>0</v>
      </c>
      <c r="B15" s="34" t="s">
        <v>244</v>
      </c>
      <c r="C15" s="35" t="s">
        <v>20</v>
      </c>
      <c r="D15" s="35" t="s">
        <v>21</v>
      </c>
      <c r="E15" s="35">
        <v>7.5</v>
      </c>
      <c r="F15" s="34">
        <v>2.0</v>
      </c>
      <c r="G15" s="34" t="s">
        <v>45</v>
      </c>
      <c r="H15" s="34" t="s">
        <v>23</v>
      </c>
      <c r="I15" s="34" t="s">
        <v>31</v>
      </c>
      <c r="J15" s="128">
        <v>46092.0</v>
      </c>
      <c r="K15" s="19" t="b">
        <v>1</v>
      </c>
      <c r="L15" s="19" t="b">
        <v>1</v>
      </c>
      <c r="M15" s="19" t="b">
        <v>1</v>
      </c>
      <c r="N15" s="19" t="b">
        <v>1</v>
      </c>
      <c r="O15" s="19" t="b">
        <v>0</v>
      </c>
      <c r="P15" s="118"/>
      <c r="Q15" s="135" t="str">
        <f t="shared" ref="Q15:R15" si="2">#REF!</f>
        <v>#REF!</v>
      </c>
      <c r="R15" s="61" t="str">
        <f t="shared" si="2"/>
        <v>#REF!</v>
      </c>
      <c r="S15" s="33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</row>
    <row r="16" outlineLevel="1">
      <c r="A16" s="19" t="b">
        <v>0</v>
      </c>
      <c r="B16" s="35" t="s">
        <v>245</v>
      </c>
      <c r="C16" s="35" t="s">
        <v>20</v>
      </c>
      <c r="D16" s="35" t="s">
        <v>156</v>
      </c>
      <c r="E16" s="35">
        <v>0.0</v>
      </c>
      <c r="F16" s="35">
        <v>0.0</v>
      </c>
      <c r="G16" s="34"/>
      <c r="H16" s="35" t="s">
        <v>31</v>
      </c>
      <c r="I16" s="34"/>
      <c r="J16" s="105" t="s">
        <v>246</v>
      </c>
      <c r="K16" s="19" t="b">
        <v>0</v>
      </c>
      <c r="L16" s="19" t="b">
        <v>0</v>
      </c>
      <c r="M16" s="19" t="b">
        <v>0</v>
      </c>
      <c r="N16" s="19" t="b">
        <v>0</v>
      </c>
      <c r="O16" s="19" t="b">
        <v>0</v>
      </c>
      <c r="P16" s="130" t="s">
        <v>247</v>
      </c>
      <c r="Q16" s="50" t="str">
        <f>JAN!Q11</f>
        <v>CY</v>
      </c>
      <c r="R16" s="138" t="str">
        <f>JAN!R11</f>
        <v>FA, WA, EX, EM</v>
      </c>
      <c r="S16" s="39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</row>
    <row r="17" outlineLevel="1">
      <c r="A17" s="19" t="b">
        <v>0</v>
      </c>
      <c r="B17" s="34" t="s">
        <v>248</v>
      </c>
      <c r="C17" s="35" t="s">
        <v>20</v>
      </c>
      <c r="D17" s="34" t="s">
        <v>21</v>
      </c>
      <c r="E17" s="34"/>
      <c r="F17" s="34">
        <v>2.0</v>
      </c>
      <c r="G17" s="34" t="s">
        <v>249</v>
      </c>
      <c r="H17" s="34" t="s">
        <v>23</v>
      </c>
      <c r="I17" s="34" t="s">
        <v>23</v>
      </c>
      <c r="J17" s="168">
        <v>46113.0</v>
      </c>
      <c r="K17" s="19" t="b">
        <v>1</v>
      </c>
      <c r="L17" s="19" t="b">
        <v>0</v>
      </c>
      <c r="M17" s="19" t="b">
        <v>0</v>
      </c>
      <c r="N17" s="19" t="b">
        <v>0</v>
      </c>
      <c r="O17" s="19" t="b">
        <v>0</v>
      </c>
      <c r="P17" s="130" t="s">
        <v>224</v>
      </c>
      <c r="Q17" s="135" t="str">
        <f>JAN!Q12</f>
        <v>MV</v>
      </c>
      <c r="R17" s="137" t="str">
        <f>JAN!R12</f>
        <v>FA, WA, EX, EM, BF &amp; FITTER</v>
      </c>
      <c r="S17" s="39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</row>
    <row r="18" outlineLevel="1">
      <c r="A18" s="19" t="b">
        <v>1</v>
      </c>
      <c r="B18" s="34" t="s">
        <v>250</v>
      </c>
      <c r="C18" s="35" t="s">
        <v>20</v>
      </c>
      <c r="D18" s="35" t="s">
        <v>21</v>
      </c>
      <c r="E18" s="35">
        <v>23.0</v>
      </c>
      <c r="F18" s="35">
        <v>2.0</v>
      </c>
      <c r="G18" s="34" t="s">
        <v>45</v>
      </c>
      <c r="H18" s="34" t="s">
        <v>31</v>
      </c>
      <c r="I18" s="34" t="s">
        <v>31</v>
      </c>
      <c r="J18" s="165" t="s">
        <v>251</v>
      </c>
      <c r="K18" s="19" t="b">
        <v>0</v>
      </c>
      <c r="L18" s="19" t="b">
        <v>0</v>
      </c>
      <c r="M18" s="19" t="b">
        <v>0</v>
      </c>
      <c r="N18" s="19" t="b">
        <v>0</v>
      </c>
      <c r="O18" s="19" t="b">
        <v>0</v>
      </c>
      <c r="P18" s="118"/>
      <c r="Q18" s="135" t="str">
        <f t="shared" ref="Q18:R18" si="3">#REF!</f>
        <v>#REF!</v>
      </c>
      <c r="R18" s="137" t="str">
        <f t="shared" si="3"/>
        <v>#REF!</v>
      </c>
      <c r="S18" s="39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</row>
    <row r="19" outlineLevel="1">
      <c r="A19" s="19" t="b">
        <v>0</v>
      </c>
      <c r="B19" s="34" t="s">
        <v>252</v>
      </c>
      <c r="C19" s="35" t="s">
        <v>253</v>
      </c>
      <c r="D19" s="34" t="s">
        <v>21</v>
      </c>
      <c r="E19" s="34"/>
      <c r="F19" s="34">
        <v>2.0</v>
      </c>
      <c r="G19" s="34" t="s">
        <v>45</v>
      </c>
      <c r="H19" s="34" t="s">
        <v>23</v>
      </c>
      <c r="I19" s="34" t="s">
        <v>23</v>
      </c>
      <c r="J19" s="105" t="s">
        <v>254</v>
      </c>
      <c r="K19" s="19" t="b">
        <v>0</v>
      </c>
      <c r="L19" s="19" t="b">
        <v>0</v>
      </c>
      <c r="M19" s="19" t="b">
        <v>0</v>
      </c>
      <c r="N19" s="19" t="b">
        <v>0</v>
      </c>
      <c r="O19" s="19" t="b">
        <v>0</v>
      </c>
      <c r="P19" s="118"/>
      <c r="Q19" s="135" t="str">
        <f t="shared" ref="Q19:R19" si="4">#REF!</f>
        <v>#REF!</v>
      </c>
      <c r="R19" s="137" t="str">
        <f t="shared" si="4"/>
        <v>#REF!</v>
      </c>
      <c r="S19" s="39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</row>
    <row r="20" outlineLevel="1">
      <c r="A20" s="19" t="b">
        <v>0</v>
      </c>
      <c r="B20" s="34" t="s">
        <v>255</v>
      </c>
      <c r="C20" s="35" t="s">
        <v>167</v>
      </c>
      <c r="D20" s="34" t="s">
        <v>21</v>
      </c>
      <c r="E20" s="34">
        <v>40.0</v>
      </c>
      <c r="F20" s="34">
        <v>3.0</v>
      </c>
      <c r="G20" s="34" t="s">
        <v>45</v>
      </c>
      <c r="H20" s="34" t="s">
        <v>31</v>
      </c>
      <c r="I20" s="34" t="s">
        <v>31</v>
      </c>
      <c r="J20" s="40" t="s">
        <v>256</v>
      </c>
      <c r="K20" s="19" t="b">
        <v>1</v>
      </c>
      <c r="L20" s="19" t="b">
        <v>1</v>
      </c>
      <c r="M20" s="19" t="b">
        <v>1</v>
      </c>
      <c r="N20" s="19" t="b">
        <v>1</v>
      </c>
      <c r="O20" s="19" t="b">
        <v>0</v>
      </c>
      <c r="P20" s="118"/>
      <c r="Q20" s="135"/>
      <c r="R20" s="137"/>
      <c r="S20" s="39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</row>
    <row r="21" outlineLevel="1">
      <c r="A21" s="19" t="b">
        <v>0</v>
      </c>
      <c r="B21" s="34" t="s">
        <v>257</v>
      </c>
      <c r="C21" s="35" t="s">
        <v>20</v>
      </c>
      <c r="D21" s="34" t="s">
        <v>21</v>
      </c>
      <c r="E21" s="35"/>
      <c r="F21" s="35"/>
      <c r="G21" s="34" t="s">
        <v>61</v>
      </c>
      <c r="H21" s="34" t="s">
        <v>23</v>
      </c>
      <c r="I21" s="34" t="s">
        <v>23</v>
      </c>
      <c r="J21" s="139" t="s">
        <v>258</v>
      </c>
      <c r="K21" s="19" t="b">
        <v>0</v>
      </c>
      <c r="L21" s="19" t="b">
        <v>0</v>
      </c>
      <c r="M21" s="19" t="b">
        <v>0</v>
      </c>
      <c r="N21" s="19" t="b">
        <v>0</v>
      </c>
      <c r="O21" s="19" t="b">
        <v>0</v>
      </c>
      <c r="P21" s="130" t="s">
        <v>259</v>
      </c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</row>
    <row r="22" outlineLevel="1">
      <c r="A22" s="19" t="b">
        <v>0</v>
      </c>
      <c r="B22" s="34" t="s">
        <v>260</v>
      </c>
      <c r="C22" s="35" t="s">
        <v>20</v>
      </c>
      <c r="D22" s="34" t="s">
        <v>261</v>
      </c>
      <c r="E22" s="34">
        <v>2.0</v>
      </c>
      <c r="F22" s="34">
        <v>1.0</v>
      </c>
      <c r="G22" s="34" t="s">
        <v>226</v>
      </c>
      <c r="H22" s="34" t="s">
        <v>31</v>
      </c>
      <c r="I22" s="34" t="s">
        <v>23</v>
      </c>
      <c r="J22" s="134">
        <v>45351.0</v>
      </c>
      <c r="K22" s="19" t="b">
        <v>0</v>
      </c>
      <c r="L22" s="19" t="b">
        <v>0</v>
      </c>
      <c r="M22" s="19" t="b">
        <v>0</v>
      </c>
      <c r="N22" s="19" t="b">
        <v>0</v>
      </c>
      <c r="O22" s="19" t="b">
        <v>0</v>
      </c>
      <c r="P22" s="130" t="s">
        <v>262</v>
      </c>
      <c r="Q22" s="77" t="s">
        <v>79</v>
      </c>
      <c r="R22" s="78"/>
      <c r="S22" s="79"/>
      <c r="U22" s="80" t="s">
        <v>80</v>
      </c>
      <c r="V22" s="73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</row>
    <row r="23" ht="27.75" customHeight="1" outlineLevel="1">
      <c r="A23" s="19" t="b">
        <v>0</v>
      </c>
      <c r="B23" s="34" t="s">
        <v>263</v>
      </c>
      <c r="C23" s="35" t="s">
        <v>20</v>
      </c>
      <c r="D23" s="34" t="s">
        <v>21</v>
      </c>
      <c r="E23" s="34">
        <v>2.5</v>
      </c>
      <c r="F23" s="34">
        <v>1.0</v>
      </c>
      <c r="G23" s="34" t="s">
        <v>264</v>
      </c>
      <c r="H23" s="34" t="s">
        <v>23</v>
      </c>
      <c r="I23" s="34" t="s">
        <v>23</v>
      </c>
      <c r="J23" s="139" t="s">
        <v>265</v>
      </c>
      <c r="K23" s="19" t="b">
        <v>0</v>
      </c>
      <c r="L23" s="19" t="b">
        <v>0</v>
      </c>
      <c r="M23" s="19" t="b">
        <v>0</v>
      </c>
      <c r="N23" s="19" t="b">
        <v>0</v>
      </c>
      <c r="O23" s="19" t="b">
        <v>0</v>
      </c>
      <c r="P23" s="130" t="s">
        <v>266</v>
      </c>
      <c r="Q23" s="81" t="s">
        <v>83</v>
      </c>
      <c r="R23" s="82" t="s">
        <v>84</v>
      </c>
      <c r="S23" s="83"/>
      <c r="T23" s="84" t="s">
        <v>85</v>
      </c>
      <c r="U23" s="85" t="s">
        <v>86</v>
      </c>
      <c r="V23" s="73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</row>
    <row r="24" ht="15.75" customHeight="1" outlineLevel="1">
      <c r="A24" s="19" t="b">
        <v>0</v>
      </c>
      <c r="B24" s="34" t="s">
        <v>267</v>
      </c>
      <c r="C24" s="35" t="s">
        <v>20</v>
      </c>
      <c r="D24" s="34" t="s">
        <v>21</v>
      </c>
      <c r="E24" s="34">
        <v>4.0</v>
      </c>
      <c r="F24" s="34">
        <v>2.0</v>
      </c>
      <c r="G24" s="34" t="s">
        <v>58</v>
      </c>
      <c r="H24" s="34" t="s">
        <v>23</v>
      </c>
      <c r="I24" s="34" t="s">
        <v>23</v>
      </c>
      <c r="J24" s="128">
        <v>46090.0</v>
      </c>
      <c r="K24" s="19" t="b">
        <v>1</v>
      </c>
      <c r="L24" s="19" t="b">
        <v>1</v>
      </c>
      <c r="M24" s="19" t="b">
        <v>1</v>
      </c>
      <c r="N24" s="19" t="b">
        <v>1</v>
      </c>
      <c r="O24" s="19" t="b">
        <v>0</v>
      </c>
      <c r="P24" s="118"/>
      <c r="Q24" s="89" t="s">
        <v>90</v>
      </c>
      <c r="R24" s="82" t="s">
        <v>91</v>
      </c>
      <c r="S24" s="83"/>
      <c r="T24" s="84" t="s">
        <v>85</v>
      </c>
      <c r="U24" s="85" t="s">
        <v>86</v>
      </c>
      <c r="V24" s="73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</row>
    <row r="25" ht="40.5" customHeight="1" outlineLevel="1">
      <c r="A25" s="19" t="b">
        <v>0</v>
      </c>
      <c r="B25" s="34" t="s">
        <v>268</v>
      </c>
      <c r="C25" s="35" t="s">
        <v>26</v>
      </c>
      <c r="D25" s="34" t="s">
        <v>21</v>
      </c>
      <c r="E25" s="35">
        <v>16.0</v>
      </c>
      <c r="F25" s="34">
        <v>2.0</v>
      </c>
      <c r="G25" s="34" t="s">
        <v>58</v>
      </c>
      <c r="H25" s="34" t="s">
        <v>23</v>
      </c>
      <c r="I25" s="34" t="s">
        <v>31</v>
      </c>
      <c r="J25" s="40" t="s">
        <v>269</v>
      </c>
      <c r="K25" s="19" t="b">
        <v>1</v>
      </c>
      <c r="L25" s="19" t="b">
        <v>1</v>
      </c>
      <c r="M25" s="19" t="b">
        <v>1</v>
      </c>
      <c r="N25" s="19" t="b">
        <v>1</v>
      </c>
      <c r="O25" s="19" t="b">
        <v>1</v>
      </c>
      <c r="P25" s="118"/>
      <c r="Q25" s="91" t="s">
        <v>92</v>
      </c>
      <c r="R25" s="82" t="s">
        <v>93</v>
      </c>
      <c r="S25" s="83"/>
      <c r="T25" s="84" t="s">
        <v>85</v>
      </c>
      <c r="U25" s="85" t="s">
        <v>94</v>
      </c>
      <c r="V25" s="73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</row>
    <row r="26" ht="27.0" customHeight="1" outlineLevel="1">
      <c r="A26" s="19" t="b">
        <v>1</v>
      </c>
      <c r="B26" s="34" t="s">
        <v>270</v>
      </c>
      <c r="C26" s="35" t="s">
        <v>77</v>
      </c>
      <c r="D26" s="35" t="s">
        <v>55</v>
      </c>
      <c r="E26" s="35">
        <v>12.0</v>
      </c>
      <c r="F26" s="35">
        <v>2.5</v>
      </c>
      <c r="G26" s="34" t="s">
        <v>45</v>
      </c>
      <c r="H26" s="34" t="s">
        <v>31</v>
      </c>
      <c r="I26" s="34" t="s">
        <v>31</v>
      </c>
      <c r="J26" s="40" t="s">
        <v>271</v>
      </c>
      <c r="K26" s="19" t="b">
        <v>1</v>
      </c>
      <c r="L26" s="19" t="b">
        <v>1</v>
      </c>
      <c r="M26" s="19" t="b">
        <v>1</v>
      </c>
      <c r="N26" s="19" t="b">
        <v>1</v>
      </c>
      <c r="O26" s="19" t="b">
        <v>1</v>
      </c>
      <c r="P26" s="118"/>
      <c r="Q26" s="93" t="s">
        <v>97</v>
      </c>
      <c r="R26" s="94" t="s">
        <v>98</v>
      </c>
      <c r="S26" s="95"/>
      <c r="T26" s="84" t="s">
        <v>85</v>
      </c>
      <c r="U26" s="85" t="s">
        <v>94</v>
      </c>
      <c r="V26" s="73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</row>
    <row r="27" ht="15.75" customHeight="1" outlineLevel="1">
      <c r="A27" s="19" t="b">
        <v>0</v>
      </c>
      <c r="B27" s="34" t="s">
        <v>272</v>
      </c>
      <c r="C27" s="35" t="s">
        <v>159</v>
      </c>
      <c r="D27" s="34" t="s">
        <v>21</v>
      </c>
      <c r="E27" s="34">
        <v>4.5</v>
      </c>
      <c r="F27" s="34">
        <v>2.0</v>
      </c>
      <c r="G27" s="34" t="s">
        <v>45</v>
      </c>
      <c r="H27" s="34" t="s">
        <v>31</v>
      </c>
      <c r="I27" s="34" t="s">
        <v>31</v>
      </c>
      <c r="J27" s="169">
        <v>46126.0</v>
      </c>
      <c r="K27" s="19" t="b">
        <v>0</v>
      </c>
      <c r="L27" s="19" t="b">
        <v>0</v>
      </c>
      <c r="M27" s="19" t="b">
        <v>0</v>
      </c>
      <c r="N27" s="19" t="b">
        <v>0</v>
      </c>
      <c r="O27" s="19" t="b">
        <v>0</v>
      </c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</row>
    <row r="28" ht="15.75" customHeight="1" outlineLevel="1">
      <c r="A28" s="19" t="b">
        <v>0</v>
      </c>
      <c r="B28" s="34" t="s">
        <v>273</v>
      </c>
      <c r="C28" s="35" t="s">
        <v>20</v>
      </c>
      <c r="D28" s="34" t="s">
        <v>21</v>
      </c>
      <c r="E28" s="34">
        <v>1.0</v>
      </c>
      <c r="F28" s="34">
        <v>1.0</v>
      </c>
      <c r="G28" s="34" t="s">
        <v>34</v>
      </c>
      <c r="H28" s="34" t="s">
        <v>23</v>
      </c>
      <c r="I28" s="34" t="s">
        <v>23</v>
      </c>
      <c r="J28" s="128">
        <v>46090.0</v>
      </c>
      <c r="K28" s="19" t="b">
        <v>1</v>
      </c>
      <c r="L28" s="19" t="b">
        <v>1</v>
      </c>
      <c r="M28" s="19" t="b">
        <v>1</v>
      </c>
      <c r="N28" s="19" t="b">
        <v>1</v>
      </c>
      <c r="O28" s="19" t="b">
        <v>1</v>
      </c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</row>
    <row r="29" ht="15.75" customHeight="1" outlineLevel="1">
      <c r="A29" s="19" t="b">
        <v>0</v>
      </c>
      <c r="B29" s="34" t="s">
        <v>274</v>
      </c>
      <c r="C29" s="35" t="s">
        <v>20</v>
      </c>
      <c r="D29" s="34" t="s">
        <v>21</v>
      </c>
      <c r="E29" s="34">
        <v>1.0</v>
      </c>
      <c r="F29" s="34">
        <v>1.0</v>
      </c>
      <c r="G29" s="34" t="s">
        <v>22</v>
      </c>
      <c r="H29" s="34" t="s">
        <v>23</v>
      </c>
      <c r="I29" s="34" t="s">
        <v>23</v>
      </c>
      <c r="J29" s="128">
        <v>46087.0</v>
      </c>
      <c r="K29" s="19" t="b">
        <v>1</v>
      </c>
      <c r="L29" s="19" t="b">
        <v>0</v>
      </c>
      <c r="M29" s="19" t="b">
        <v>1</v>
      </c>
      <c r="N29" s="19" t="b">
        <v>1</v>
      </c>
      <c r="O29" s="19" t="b">
        <v>0</v>
      </c>
      <c r="P29" s="118"/>
      <c r="Q29" s="141" t="s">
        <v>188</v>
      </c>
      <c r="R29" s="103" t="str">
        <f>(E3*F3)+(#REF!*#REF!)+(E5*F5)+(E6*F6)+(E7*F7)+(E8*F8)+(E10*F10)+(E11*F11)+(E13*F13)+(E14*F14)+(E15*F15)+(E16*F16)+(E17*F17)+(E18*F18)+(E19*F19)+(E20*F20)+(E21*F21)+(E22*F22)+(E23*F23)+(E24*F24)+(E25*F25)+(E26*F26)+(E27*F27)+(E28*F28)+(E29*F29)+(E30*F30)+(#REF!*#REF!)+(E31*F31)+(E33*F33)+(E34*F34)+(E35*F35)+(E36*F36)+(#REF!*#REF!)+(#REF!*#REF!)+(#REF!*#REF!)+(#REF!*#REF!)+(E37*F37)+(E38*F38)+(E39*F39)+(E40*F40)+(E41*F41)+(E42*F42)+(E43*F43)+(E44*F44)+(E45*F45)+(E46*F46)+(#REF!*#REF!)+(E47*F47)+(E48*F48)+(E49*F49)+(E50*F50)+(E52*F52)+(E56*F56)+(E57*F57)+(E58*F58)+(E59*F59)+(E60*F60)+(E61*F61)+(E62*F62)+(E63*F63)+(E64*F64)+(E65*F65)+(E66*F66)+(E67*F67)+(E68*F68)+(E69*F69)+(E70*F70)+(E71*F71)+(E72*F72)+(E73*F73)+(E74*F74)+(E75*F75)+(E76*F76)+(E77*F77)+(E78*F78)+(E79*F79)+(E80*F80)+(E81*F81)+(E82*F82)+(E83*F83)+(E84*F84)+(E85*F85)+(E86*F86)+(E87*F87)+(E88*F88)+(E89*F89)+(E90*F90)+(E91*F91)+(E92*F92)+(E93*F93)+(E94*F94)+(E95*F95)+(E96*F96)+(E97*F97)+(E98*F98)</f>
        <v>#REF!</v>
      </c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</row>
    <row r="30" ht="15.75" customHeight="1" outlineLevel="1">
      <c r="A30" s="19" t="b">
        <v>1</v>
      </c>
      <c r="B30" s="34" t="s">
        <v>111</v>
      </c>
      <c r="C30" s="35" t="s">
        <v>20</v>
      </c>
      <c r="D30" s="35" t="s">
        <v>275</v>
      </c>
      <c r="E30" s="34">
        <v>4.0</v>
      </c>
      <c r="F30" s="34">
        <v>2.0</v>
      </c>
      <c r="G30" s="34" t="s">
        <v>226</v>
      </c>
      <c r="H30" s="34" t="s">
        <v>31</v>
      </c>
      <c r="I30" s="34" t="s">
        <v>31</v>
      </c>
      <c r="J30" s="128">
        <v>46052.0</v>
      </c>
      <c r="K30" s="19" t="b">
        <v>0</v>
      </c>
      <c r="L30" s="19" t="b">
        <v>0</v>
      </c>
      <c r="M30" s="19" t="b">
        <v>0</v>
      </c>
      <c r="N30" s="19" t="b">
        <v>0</v>
      </c>
      <c r="O30" s="19" t="b">
        <v>0</v>
      </c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</row>
    <row r="31" ht="15.75" customHeight="1" outlineLevel="1">
      <c r="A31" s="19" t="b">
        <v>0</v>
      </c>
      <c r="B31" s="27" t="s">
        <v>121</v>
      </c>
      <c r="C31" s="28" t="s">
        <v>122</v>
      </c>
      <c r="D31" s="27" t="s">
        <v>123</v>
      </c>
      <c r="E31" s="27">
        <v>2.0</v>
      </c>
      <c r="F31" s="27">
        <v>1.0</v>
      </c>
      <c r="G31" s="34" t="s">
        <v>58</v>
      </c>
      <c r="H31" s="27" t="s">
        <v>23</v>
      </c>
      <c r="I31" s="27" t="s">
        <v>31</v>
      </c>
      <c r="J31" s="149">
        <v>46093.0</v>
      </c>
      <c r="K31" s="19" t="b">
        <v>1</v>
      </c>
      <c r="L31" s="19" t="b">
        <v>0</v>
      </c>
      <c r="M31" s="19" t="b">
        <v>0</v>
      </c>
      <c r="N31" s="19" t="b">
        <v>0</v>
      </c>
      <c r="O31" s="19" t="b">
        <v>0</v>
      </c>
      <c r="P31" s="118"/>
      <c r="Q31" s="141" t="s">
        <v>199</v>
      </c>
      <c r="R31" s="102"/>
      <c r="S31" s="103" t="str">
        <f>T34-R29</f>
        <v>#REF!</v>
      </c>
      <c r="T31" s="96"/>
      <c r="U31" s="85"/>
      <c r="V31" s="85"/>
      <c r="AF31" s="118"/>
      <c r="AG31" s="118"/>
    </row>
    <row r="32" ht="15.75" customHeight="1" outlineLevel="1">
      <c r="A32" s="19" t="b">
        <v>0</v>
      </c>
      <c r="B32" s="27" t="s">
        <v>276</v>
      </c>
      <c r="C32" s="28" t="s">
        <v>20</v>
      </c>
      <c r="D32" s="27" t="s">
        <v>55</v>
      </c>
      <c r="E32" s="28">
        <v>3.5</v>
      </c>
      <c r="F32" s="28">
        <v>2.0</v>
      </c>
      <c r="G32" s="34" t="s">
        <v>70</v>
      </c>
      <c r="H32" s="27" t="s">
        <v>23</v>
      </c>
      <c r="I32" s="27" t="s">
        <v>31</v>
      </c>
      <c r="J32" s="87" t="s">
        <v>46</v>
      </c>
      <c r="K32" s="19" t="b">
        <v>0</v>
      </c>
      <c r="L32" s="19" t="b">
        <v>0</v>
      </c>
      <c r="M32" s="19" t="b">
        <v>0</v>
      </c>
      <c r="N32" s="19" t="b">
        <v>0</v>
      </c>
      <c r="O32" s="19" t="b">
        <v>0</v>
      </c>
      <c r="P32" s="49" t="s">
        <v>277</v>
      </c>
    </row>
    <row r="33" ht="15.75" customHeight="1" outlineLevel="1">
      <c r="A33" s="19" t="b">
        <v>0</v>
      </c>
      <c r="B33" s="34" t="s">
        <v>278</v>
      </c>
      <c r="C33" s="35" t="s">
        <v>20</v>
      </c>
      <c r="D33" s="34" t="s">
        <v>21</v>
      </c>
      <c r="E33" s="34">
        <v>1.5</v>
      </c>
      <c r="F33" s="34">
        <v>1.0</v>
      </c>
      <c r="G33" s="34" t="s">
        <v>70</v>
      </c>
      <c r="H33" s="34" t="s">
        <v>23</v>
      </c>
      <c r="I33" s="34" t="s">
        <v>23</v>
      </c>
      <c r="J33" s="128">
        <v>46091.0</v>
      </c>
      <c r="K33" s="19" t="b">
        <v>1</v>
      </c>
      <c r="L33" s="19" t="b">
        <v>0</v>
      </c>
      <c r="M33" s="19" t="b">
        <v>0</v>
      </c>
      <c r="N33" s="19" t="b">
        <v>0</v>
      </c>
      <c r="O33" s="19" t="b">
        <v>0</v>
      </c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</row>
    <row r="34" ht="15.75" customHeight="1" outlineLevel="1">
      <c r="A34" s="19" t="b">
        <v>0</v>
      </c>
      <c r="B34" s="34" t="s">
        <v>279</v>
      </c>
      <c r="C34" s="35" t="s">
        <v>26</v>
      </c>
      <c r="D34" s="34" t="s">
        <v>21</v>
      </c>
      <c r="E34" s="34">
        <v>2.0</v>
      </c>
      <c r="F34" s="34">
        <v>1.0</v>
      </c>
      <c r="G34" s="34" t="s">
        <v>22</v>
      </c>
      <c r="H34" s="34" t="s">
        <v>23</v>
      </c>
      <c r="I34" s="34" t="s">
        <v>23</v>
      </c>
      <c r="J34" s="105" t="s">
        <v>280</v>
      </c>
      <c r="K34" s="19" t="b">
        <v>0</v>
      </c>
      <c r="L34" s="19" t="b">
        <v>0</v>
      </c>
      <c r="M34" s="19" t="b">
        <v>0</v>
      </c>
      <c r="N34" s="19" t="b">
        <v>0</v>
      </c>
      <c r="O34" s="19" t="b">
        <v>0</v>
      </c>
      <c r="P34" s="118"/>
      <c r="Q34" s="170" t="s">
        <v>192</v>
      </c>
      <c r="R34" s="144"/>
      <c r="S34" s="18"/>
      <c r="T34" s="103">
        <v>708.0</v>
      </c>
      <c r="U34" s="85"/>
      <c r="V34" s="85" t="s">
        <v>193</v>
      </c>
      <c r="W34" s="97"/>
      <c r="AG34" s="118"/>
    </row>
    <row r="35" ht="15.75" customHeight="1" outlineLevel="1">
      <c r="A35" s="19" t="b">
        <v>0</v>
      </c>
      <c r="B35" s="34" t="s">
        <v>281</v>
      </c>
      <c r="C35" s="35" t="s">
        <v>20</v>
      </c>
      <c r="D35" s="34" t="s">
        <v>21</v>
      </c>
      <c r="E35" s="35">
        <v>3.0</v>
      </c>
      <c r="F35" s="34">
        <v>2.0</v>
      </c>
      <c r="G35" s="34" t="s">
        <v>70</v>
      </c>
      <c r="H35" s="34" t="s">
        <v>23</v>
      </c>
      <c r="I35" s="34" t="s">
        <v>23</v>
      </c>
      <c r="J35" s="128">
        <v>46091.0</v>
      </c>
      <c r="K35" s="19" t="b">
        <v>1</v>
      </c>
      <c r="L35" s="19" t="b">
        <v>1</v>
      </c>
      <c r="M35" s="19" t="b">
        <v>1</v>
      </c>
      <c r="N35" s="19" t="b">
        <v>1</v>
      </c>
      <c r="O35" s="19" t="b">
        <v>1</v>
      </c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</row>
    <row r="36" ht="15.75" customHeight="1" outlineLevel="1">
      <c r="A36" s="19" t="b">
        <v>0</v>
      </c>
      <c r="B36" s="35" t="s">
        <v>282</v>
      </c>
      <c r="C36" s="35" t="s">
        <v>77</v>
      </c>
      <c r="D36" s="35" t="s">
        <v>21</v>
      </c>
      <c r="E36" s="35">
        <v>1.0</v>
      </c>
      <c r="F36" s="35">
        <v>1.0</v>
      </c>
      <c r="G36" s="35" t="s">
        <v>22</v>
      </c>
      <c r="H36" s="35" t="s">
        <v>23</v>
      </c>
      <c r="I36" s="35" t="s">
        <v>23</v>
      </c>
      <c r="J36" s="171">
        <v>45364.0</v>
      </c>
      <c r="K36" s="19" t="b">
        <v>0</v>
      </c>
      <c r="L36" s="19" t="b">
        <v>0</v>
      </c>
      <c r="M36" s="19" t="b">
        <v>0</v>
      </c>
      <c r="N36" s="19" t="b">
        <v>0</v>
      </c>
      <c r="O36" s="19" t="b">
        <v>0</v>
      </c>
      <c r="P36" s="130" t="s">
        <v>283</v>
      </c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</row>
    <row r="37" ht="15.75" customHeight="1" outlineLevel="1">
      <c r="A37" s="19" t="b">
        <v>0</v>
      </c>
      <c r="B37" s="35" t="s">
        <v>284</v>
      </c>
      <c r="C37" s="35" t="s">
        <v>77</v>
      </c>
      <c r="D37" s="35" t="s">
        <v>285</v>
      </c>
      <c r="E37" s="35">
        <v>3.0</v>
      </c>
      <c r="F37" s="35">
        <v>1.0</v>
      </c>
      <c r="G37" s="35" t="s">
        <v>34</v>
      </c>
      <c r="H37" s="35" t="s">
        <v>23</v>
      </c>
      <c r="I37" s="35" t="s">
        <v>23</v>
      </c>
      <c r="J37" s="172" t="s">
        <v>286</v>
      </c>
      <c r="K37" s="19" t="b">
        <v>0</v>
      </c>
      <c r="L37" s="19" t="b">
        <v>0</v>
      </c>
      <c r="M37" s="19" t="b">
        <v>0</v>
      </c>
      <c r="N37" s="19" t="b">
        <v>0</v>
      </c>
      <c r="O37" s="19" t="b">
        <v>0</v>
      </c>
      <c r="P37" s="130" t="s">
        <v>287</v>
      </c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</row>
    <row r="38" ht="15.75" customHeight="1" outlineLevel="1">
      <c r="A38" s="19" t="b">
        <v>0</v>
      </c>
      <c r="B38" s="35" t="s">
        <v>288</v>
      </c>
      <c r="C38" s="35" t="s">
        <v>20</v>
      </c>
      <c r="D38" s="35" t="s">
        <v>285</v>
      </c>
      <c r="E38" s="35">
        <v>1.0</v>
      </c>
      <c r="F38" s="35">
        <v>1.0</v>
      </c>
      <c r="G38" s="35" t="s">
        <v>22</v>
      </c>
      <c r="H38" s="35" t="s">
        <v>23</v>
      </c>
      <c r="I38" s="35" t="s">
        <v>23</v>
      </c>
      <c r="J38" s="112">
        <v>46090.0</v>
      </c>
      <c r="K38" s="19" t="b">
        <v>1</v>
      </c>
      <c r="L38" s="19" t="b">
        <v>0</v>
      </c>
      <c r="M38" s="19" t="b">
        <v>1</v>
      </c>
      <c r="N38" s="19" t="b">
        <v>1</v>
      </c>
      <c r="O38" s="19" t="b">
        <v>0</v>
      </c>
      <c r="P38" s="130" t="s">
        <v>289</v>
      </c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</row>
    <row r="39" ht="15.75" customHeight="1" outlineLevel="1">
      <c r="A39" s="19" t="b">
        <v>0</v>
      </c>
      <c r="B39" s="35" t="s">
        <v>290</v>
      </c>
      <c r="C39" s="35" t="s">
        <v>20</v>
      </c>
      <c r="D39" s="35" t="s">
        <v>285</v>
      </c>
      <c r="E39" s="35">
        <v>3.0</v>
      </c>
      <c r="F39" s="35">
        <v>2.0</v>
      </c>
      <c r="G39" s="35" t="s">
        <v>291</v>
      </c>
      <c r="H39" s="35" t="s">
        <v>204</v>
      </c>
      <c r="I39" s="35" t="s">
        <v>204</v>
      </c>
      <c r="J39" s="173">
        <v>46119.0</v>
      </c>
      <c r="K39" s="19" t="b">
        <v>0</v>
      </c>
      <c r="L39" s="19" t="b">
        <v>0</v>
      </c>
      <c r="M39" s="19" t="b">
        <v>0</v>
      </c>
      <c r="N39" s="19" t="b">
        <v>0</v>
      </c>
      <c r="O39" s="19" t="b">
        <v>0</v>
      </c>
      <c r="P39" s="130" t="s">
        <v>292</v>
      </c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</row>
    <row r="40" ht="15.75" customHeight="1" outlineLevel="1">
      <c r="A40" s="19" t="b">
        <v>0</v>
      </c>
      <c r="B40" s="35" t="s">
        <v>293</v>
      </c>
      <c r="C40" s="35" t="s">
        <v>20</v>
      </c>
      <c r="D40" s="35" t="s">
        <v>285</v>
      </c>
      <c r="E40" s="35">
        <v>3.0</v>
      </c>
      <c r="F40" s="35">
        <v>2.0</v>
      </c>
      <c r="G40" s="35" t="s">
        <v>291</v>
      </c>
      <c r="H40" s="35" t="s">
        <v>204</v>
      </c>
      <c r="I40" s="35" t="s">
        <v>204</v>
      </c>
      <c r="J40" s="172" t="s">
        <v>246</v>
      </c>
      <c r="K40" s="19" t="b">
        <v>0</v>
      </c>
      <c r="L40" s="19" t="b">
        <v>0</v>
      </c>
      <c r="M40" s="19" t="b">
        <v>0</v>
      </c>
      <c r="N40" s="19" t="b">
        <v>0</v>
      </c>
      <c r="O40" s="19" t="b">
        <v>0</v>
      </c>
      <c r="P40" s="130" t="s">
        <v>294</v>
      </c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</row>
    <row r="41" ht="15.75" customHeight="1" outlineLevel="1">
      <c r="A41" s="19" t="b">
        <v>0</v>
      </c>
      <c r="B41" s="35" t="s">
        <v>295</v>
      </c>
      <c r="C41" s="35" t="s">
        <v>20</v>
      </c>
      <c r="D41" s="35" t="s">
        <v>285</v>
      </c>
      <c r="E41" s="35">
        <v>3.0</v>
      </c>
      <c r="F41" s="35">
        <v>2.0</v>
      </c>
      <c r="G41" s="35" t="s">
        <v>296</v>
      </c>
      <c r="H41" s="35" t="s">
        <v>204</v>
      </c>
      <c r="I41" s="35" t="s">
        <v>204</v>
      </c>
      <c r="J41" s="173">
        <v>46119.0</v>
      </c>
      <c r="K41" s="19" t="b">
        <v>0</v>
      </c>
      <c r="L41" s="19" t="b">
        <v>0</v>
      </c>
      <c r="M41" s="19" t="b">
        <v>0</v>
      </c>
      <c r="N41" s="19" t="b">
        <v>0</v>
      </c>
      <c r="O41" s="19" t="b">
        <v>0</v>
      </c>
      <c r="P41" s="130" t="s">
        <v>294</v>
      </c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</row>
    <row r="42" ht="15.75" customHeight="1" outlineLevel="1">
      <c r="A42" s="19" t="b">
        <v>1</v>
      </c>
      <c r="B42" s="35" t="s">
        <v>297</v>
      </c>
      <c r="C42" s="35" t="s">
        <v>26</v>
      </c>
      <c r="D42" s="35" t="s">
        <v>285</v>
      </c>
      <c r="E42" s="35">
        <v>3.0</v>
      </c>
      <c r="F42" s="35">
        <v>2.0</v>
      </c>
      <c r="G42" s="35" t="s">
        <v>298</v>
      </c>
      <c r="H42" s="35" t="s">
        <v>23</v>
      </c>
      <c r="I42" s="35" t="s">
        <v>23</v>
      </c>
      <c r="J42" s="112">
        <v>46049.0</v>
      </c>
      <c r="K42" s="19" t="b">
        <v>1</v>
      </c>
      <c r="L42" s="19" t="b">
        <v>1</v>
      </c>
      <c r="M42" s="19" t="b">
        <v>1</v>
      </c>
      <c r="N42" s="19" t="b">
        <v>1</v>
      </c>
      <c r="O42" s="19" t="b">
        <v>1</v>
      </c>
      <c r="P42" s="130" t="s">
        <v>299</v>
      </c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</row>
    <row r="43" ht="15.75" customHeight="1" outlineLevel="1">
      <c r="A43" s="19" t="b">
        <v>1</v>
      </c>
      <c r="B43" s="34" t="s">
        <v>300</v>
      </c>
      <c r="C43" s="35" t="s">
        <v>20</v>
      </c>
      <c r="D43" s="34" t="s">
        <v>21</v>
      </c>
      <c r="E43" s="34">
        <v>3.0</v>
      </c>
      <c r="F43" s="34">
        <v>2.0</v>
      </c>
      <c r="G43" s="34" t="s">
        <v>58</v>
      </c>
      <c r="H43" s="34" t="s">
        <v>23</v>
      </c>
      <c r="I43" s="34" t="s">
        <v>31</v>
      </c>
      <c r="J43" s="131">
        <v>46080.0</v>
      </c>
      <c r="K43" s="19" t="b">
        <v>1</v>
      </c>
      <c r="L43" s="19" t="b">
        <v>0</v>
      </c>
      <c r="M43" s="19" t="b">
        <v>1</v>
      </c>
      <c r="N43" s="19" t="b">
        <v>1</v>
      </c>
      <c r="O43" s="19" t="b">
        <v>0</v>
      </c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</row>
    <row r="44" ht="15.75" customHeight="1" outlineLevel="1">
      <c r="A44" s="106" t="b">
        <v>0</v>
      </c>
      <c r="B44" s="45" t="s">
        <v>276</v>
      </c>
      <c r="C44" s="46" t="s">
        <v>20</v>
      </c>
      <c r="D44" s="45" t="s">
        <v>55</v>
      </c>
      <c r="E44" s="46">
        <v>3.5</v>
      </c>
      <c r="F44" s="46">
        <v>2.0</v>
      </c>
      <c r="G44" s="140" t="s">
        <v>70</v>
      </c>
      <c r="H44" s="45" t="s">
        <v>23</v>
      </c>
      <c r="I44" s="45" t="s">
        <v>31</v>
      </c>
      <c r="J44" s="107" t="s">
        <v>301</v>
      </c>
      <c r="K44" s="106" t="b">
        <v>0</v>
      </c>
      <c r="L44" s="106" t="b">
        <v>0</v>
      </c>
      <c r="M44" s="106" t="b">
        <v>0</v>
      </c>
      <c r="N44" s="106" t="b">
        <v>0</v>
      </c>
      <c r="O44" s="106" t="b">
        <v>0</v>
      </c>
      <c r="P44" s="174" t="s">
        <v>277</v>
      </c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</row>
    <row r="45" ht="15.75" customHeight="1" outlineLevel="1">
      <c r="A45" s="19" t="b">
        <v>0</v>
      </c>
      <c r="B45" s="35" t="s">
        <v>200</v>
      </c>
      <c r="C45" s="35" t="s">
        <v>20</v>
      </c>
      <c r="D45" s="35" t="s">
        <v>285</v>
      </c>
      <c r="E45" s="35">
        <v>1.0</v>
      </c>
      <c r="F45" s="35">
        <v>1.0</v>
      </c>
      <c r="G45" s="35" t="s">
        <v>302</v>
      </c>
      <c r="H45" s="35" t="s">
        <v>23</v>
      </c>
      <c r="I45" s="35" t="s">
        <v>23</v>
      </c>
      <c r="J45" s="128">
        <v>46056.0</v>
      </c>
      <c r="K45" s="19" t="b">
        <v>0</v>
      </c>
      <c r="L45" s="19" t="b">
        <v>0</v>
      </c>
      <c r="M45" s="19" t="b">
        <v>0</v>
      </c>
      <c r="N45" s="19" t="b">
        <v>0</v>
      </c>
      <c r="O45" s="19" t="b">
        <v>0</v>
      </c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</row>
    <row r="46" ht="15.75" customHeight="1" outlineLevel="1">
      <c r="A46" s="19" t="b">
        <v>0</v>
      </c>
      <c r="B46" s="27" t="s">
        <v>239</v>
      </c>
      <c r="C46" s="28" t="s">
        <v>20</v>
      </c>
      <c r="D46" s="27" t="s">
        <v>21</v>
      </c>
      <c r="E46" s="27">
        <v>1.0</v>
      </c>
      <c r="F46" s="29">
        <v>1.0</v>
      </c>
      <c r="G46" s="30" t="s">
        <v>22</v>
      </c>
      <c r="H46" s="29" t="s">
        <v>23</v>
      </c>
      <c r="I46" s="29" t="s">
        <v>23</v>
      </c>
      <c r="J46" s="166" t="s">
        <v>240</v>
      </c>
      <c r="K46" s="19" t="b">
        <v>0</v>
      </c>
      <c r="L46" s="19" t="b">
        <v>0</v>
      </c>
      <c r="M46" s="19" t="b">
        <v>0</v>
      </c>
      <c r="N46" s="19" t="b">
        <v>0</v>
      </c>
      <c r="O46" s="19" t="b">
        <v>0</v>
      </c>
      <c r="P46" s="130" t="s">
        <v>303</v>
      </c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</row>
    <row r="47" ht="15.75" customHeight="1" outlineLevel="1">
      <c r="A47" s="19" t="b">
        <v>0</v>
      </c>
      <c r="B47" s="35" t="s">
        <v>304</v>
      </c>
      <c r="C47" s="35" t="s">
        <v>77</v>
      </c>
      <c r="D47" s="35" t="s">
        <v>21</v>
      </c>
      <c r="E47" s="34"/>
      <c r="F47" s="35">
        <v>1.0</v>
      </c>
      <c r="G47" s="35" t="s">
        <v>145</v>
      </c>
      <c r="H47" s="35" t="s">
        <v>23</v>
      </c>
      <c r="I47" s="35" t="s">
        <v>23</v>
      </c>
      <c r="J47" s="105" t="s">
        <v>286</v>
      </c>
      <c r="K47" s="19" t="b">
        <v>0</v>
      </c>
      <c r="L47" s="19" t="b">
        <v>0</v>
      </c>
      <c r="M47" s="19" t="b">
        <v>0</v>
      </c>
      <c r="N47" s="19" t="b">
        <v>0</v>
      </c>
      <c r="O47" s="19" t="b">
        <v>0</v>
      </c>
      <c r="P47" s="130" t="s">
        <v>303</v>
      </c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</row>
    <row r="48" ht="15.75" customHeight="1" outlineLevel="1">
      <c r="A48" s="19" t="b">
        <v>1</v>
      </c>
      <c r="B48" s="35" t="s">
        <v>305</v>
      </c>
      <c r="C48" s="35" t="s">
        <v>26</v>
      </c>
      <c r="D48" s="35" t="s">
        <v>21</v>
      </c>
      <c r="E48" s="35">
        <v>3.0</v>
      </c>
      <c r="F48" s="35">
        <v>2.0</v>
      </c>
      <c r="G48" s="35" t="s">
        <v>306</v>
      </c>
      <c r="H48" s="35" t="s">
        <v>23</v>
      </c>
      <c r="I48" s="35" t="s">
        <v>23</v>
      </c>
      <c r="J48" s="169">
        <v>46118.0</v>
      </c>
      <c r="K48" s="19" t="b">
        <v>0</v>
      </c>
      <c r="L48" s="19" t="b">
        <v>0</v>
      </c>
      <c r="M48" s="19" t="b">
        <v>0</v>
      </c>
      <c r="N48" s="19" t="b">
        <v>0</v>
      </c>
      <c r="O48" s="19" t="b">
        <v>0</v>
      </c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</row>
    <row r="49" ht="15.75" customHeight="1" outlineLevel="1">
      <c r="A49" s="19" t="b">
        <v>0</v>
      </c>
      <c r="B49" s="35" t="s">
        <v>307</v>
      </c>
      <c r="C49" s="35" t="s">
        <v>20</v>
      </c>
      <c r="D49" s="34" t="s">
        <v>156</v>
      </c>
      <c r="E49" s="34">
        <v>1.0</v>
      </c>
      <c r="F49" s="34">
        <v>1.0</v>
      </c>
      <c r="G49" s="34" t="s">
        <v>27</v>
      </c>
      <c r="H49" s="34" t="s">
        <v>31</v>
      </c>
      <c r="I49" s="34" t="s">
        <v>31</v>
      </c>
      <c r="J49" s="176"/>
      <c r="K49" s="19" t="b">
        <v>0</v>
      </c>
      <c r="L49" s="19" t="b">
        <v>0</v>
      </c>
      <c r="M49" s="19" t="b">
        <v>0</v>
      </c>
      <c r="N49" s="19" t="b">
        <v>0</v>
      </c>
      <c r="O49" s="19" t="b">
        <v>0</v>
      </c>
      <c r="P49" s="177" t="s">
        <v>308</v>
      </c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</row>
    <row r="50" ht="15.75" customHeight="1" outlineLevel="1">
      <c r="A50" s="19" t="b">
        <v>0</v>
      </c>
      <c r="B50" s="35" t="s">
        <v>278</v>
      </c>
      <c r="C50" s="35" t="s">
        <v>20</v>
      </c>
      <c r="D50" s="35" t="s">
        <v>21</v>
      </c>
      <c r="E50" s="35">
        <v>1.0</v>
      </c>
      <c r="F50" s="35">
        <v>1.0</v>
      </c>
      <c r="G50" s="35" t="s">
        <v>309</v>
      </c>
      <c r="H50" s="35" t="s">
        <v>204</v>
      </c>
      <c r="I50" s="35" t="s">
        <v>204</v>
      </c>
      <c r="J50" s="178">
        <v>46091.0</v>
      </c>
      <c r="K50" s="19" t="b">
        <v>1</v>
      </c>
      <c r="L50" s="19" t="b">
        <v>1</v>
      </c>
      <c r="M50" s="19" t="b">
        <v>1</v>
      </c>
      <c r="N50" s="19" t="b">
        <v>1</v>
      </c>
      <c r="O50" s="19" t="b">
        <v>0</v>
      </c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</row>
    <row r="51" ht="15.75" customHeight="1" outlineLevel="1">
      <c r="A51" s="34"/>
      <c r="B51" s="35" t="s">
        <v>310</v>
      </c>
      <c r="C51" s="35" t="s">
        <v>20</v>
      </c>
      <c r="D51" s="35" t="s">
        <v>21</v>
      </c>
      <c r="E51" s="35">
        <v>1.0</v>
      </c>
      <c r="F51" s="35">
        <v>1.0</v>
      </c>
      <c r="G51" s="35" t="s">
        <v>34</v>
      </c>
      <c r="H51" s="35" t="s">
        <v>204</v>
      </c>
      <c r="I51" s="35" t="s">
        <v>204</v>
      </c>
      <c r="J51" s="131">
        <v>46084.0</v>
      </c>
      <c r="K51" s="19" t="b">
        <v>1</v>
      </c>
      <c r="L51" s="19" t="b">
        <v>0</v>
      </c>
      <c r="M51" s="19" t="b">
        <v>0</v>
      </c>
      <c r="N51" s="19" t="b">
        <v>0</v>
      </c>
      <c r="O51" s="19" t="b">
        <v>0</v>
      </c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</row>
    <row r="52" ht="15.75" customHeight="1" outlineLevel="1">
      <c r="A52" s="34"/>
      <c r="B52" s="34"/>
      <c r="C52" s="34"/>
      <c r="D52" s="34"/>
      <c r="E52" s="34">
        <f>SUM(E2:E51)</f>
        <v>196</v>
      </c>
      <c r="F52" s="34"/>
      <c r="G52" s="34"/>
      <c r="H52" s="34"/>
      <c r="I52" s="34"/>
      <c r="J52" s="34"/>
      <c r="K52" s="19"/>
      <c r="L52" s="19"/>
      <c r="M52" s="19"/>
      <c r="N52" s="19"/>
      <c r="O52" s="19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</row>
    <row r="53" ht="15.75" customHeight="1" outlineLevel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155"/>
      <c r="L53" s="155"/>
      <c r="M53" s="155"/>
      <c r="N53" s="155"/>
      <c r="O53" s="155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</row>
    <row r="54" ht="15.75" customHeight="1" outlineLevel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155"/>
      <c r="L54" s="155"/>
      <c r="M54" s="155"/>
      <c r="N54" s="155"/>
      <c r="O54" s="155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</row>
    <row r="55" ht="15.75" customHeight="1" outlineLevel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155"/>
      <c r="L55" s="155"/>
      <c r="M55" s="155"/>
      <c r="N55" s="155"/>
      <c r="O55" s="155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</row>
    <row r="56" ht="15.75" customHeight="1" outlineLevel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155"/>
      <c r="L56" s="155"/>
      <c r="M56" s="155"/>
      <c r="N56" s="155"/>
      <c r="O56" s="155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</row>
    <row r="57" ht="15.75" customHeight="1" outlineLevel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155"/>
      <c r="L57" s="155"/>
      <c r="M57" s="155"/>
      <c r="N57" s="155"/>
      <c r="O57" s="155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</row>
    <row r="58" ht="15.75" customHeight="1" outlineLevel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155"/>
      <c r="L58" s="155"/>
      <c r="M58" s="155"/>
      <c r="N58" s="155"/>
      <c r="O58" s="155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</row>
    <row r="59" ht="15.75" customHeight="1" outlineLevel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155"/>
      <c r="L59" s="155"/>
      <c r="M59" s="155"/>
      <c r="N59" s="155"/>
      <c r="O59" s="155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</row>
    <row r="60" ht="15.75" customHeight="1" outlineLevel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155"/>
      <c r="L60" s="155"/>
      <c r="M60" s="155"/>
      <c r="N60" s="155"/>
      <c r="O60" s="155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</row>
    <row r="61" ht="15.75" customHeight="1" outlineLevel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155"/>
      <c r="L61" s="155"/>
      <c r="M61" s="155"/>
      <c r="N61" s="155"/>
      <c r="O61" s="155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</row>
    <row r="62" ht="15.75" customHeight="1" outlineLevel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155"/>
      <c r="L62" s="155"/>
      <c r="M62" s="155"/>
      <c r="N62" s="155"/>
      <c r="O62" s="155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</row>
    <row r="63" ht="15.75" customHeight="1" outlineLevel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155"/>
      <c r="L63" s="155"/>
      <c r="M63" s="155"/>
      <c r="N63" s="155"/>
      <c r="O63" s="155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</row>
    <row r="64" ht="15.75" customHeight="1" outlineLevel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155"/>
      <c r="L64" s="155"/>
      <c r="M64" s="155"/>
      <c r="N64" s="155"/>
      <c r="O64" s="155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</row>
    <row r="65" ht="15.75" customHeight="1" outlineLevel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155"/>
      <c r="L65" s="155"/>
      <c r="M65" s="155"/>
      <c r="N65" s="155"/>
      <c r="O65" s="155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</row>
    <row r="66" ht="15.75" customHeight="1" outlineLevel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155"/>
      <c r="L66" s="155"/>
      <c r="M66" s="155"/>
      <c r="N66" s="155"/>
      <c r="O66" s="155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</row>
    <row r="67" ht="15.75" customHeight="1" outlineLevel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155"/>
      <c r="L67" s="155"/>
      <c r="M67" s="155"/>
      <c r="N67" s="155"/>
      <c r="O67" s="155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</row>
    <row r="68" ht="15.75" customHeight="1" outlineLevel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155"/>
      <c r="L68" s="155"/>
      <c r="M68" s="155"/>
      <c r="N68" s="155"/>
      <c r="O68" s="155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</row>
    <row r="69" ht="15.75" customHeight="1" outlineLevel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155"/>
      <c r="L69" s="155"/>
      <c r="M69" s="155"/>
      <c r="N69" s="155"/>
      <c r="O69" s="155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</row>
    <row r="70" ht="15.75" customHeight="1" outlineLevel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155"/>
      <c r="L70" s="155"/>
      <c r="M70" s="155"/>
      <c r="N70" s="155"/>
      <c r="O70" s="155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</row>
    <row r="71" ht="15.75" customHeight="1" outlineLevel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155"/>
      <c r="L71" s="155"/>
      <c r="M71" s="155"/>
      <c r="N71" s="155"/>
      <c r="O71" s="155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</row>
    <row r="72" ht="15.75" customHeight="1" outlineLevel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155"/>
      <c r="L72" s="155"/>
      <c r="M72" s="155"/>
      <c r="N72" s="155"/>
      <c r="O72" s="155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</row>
    <row r="73" ht="15.75" customHeight="1" outlineLevel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155"/>
      <c r="L73" s="155"/>
      <c r="M73" s="155"/>
      <c r="N73" s="155"/>
      <c r="O73" s="155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</row>
    <row r="74" ht="15.75" customHeight="1" outlineLevel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155"/>
      <c r="L74" s="155"/>
      <c r="M74" s="155"/>
      <c r="N74" s="155"/>
      <c r="O74" s="155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</row>
    <row r="75" ht="15.75" customHeight="1" outlineLevel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155"/>
      <c r="L75" s="155"/>
      <c r="M75" s="155"/>
      <c r="N75" s="155"/>
      <c r="O75" s="155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</row>
    <row r="76" ht="15.75" customHeight="1" outlineLevel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155"/>
      <c r="L76" s="155"/>
      <c r="M76" s="155"/>
      <c r="N76" s="155"/>
      <c r="O76" s="155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</row>
    <row r="77" ht="15.75" customHeight="1" outlineLevel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155"/>
      <c r="L77" s="155"/>
      <c r="M77" s="155"/>
      <c r="N77" s="155"/>
      <c r="O77" s="155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</row>
    <row r="78" ht="15.75" customHeight="1" outlineLevel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155"/>
      <c r="L78" s="155"/>
      <c r="M78" s="155"/>
      <c r="N78" s="155"/>
      <c r="O78" s="155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</row>
    <row r="79" ht="15.75" customHeight="1" outlineLevel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155"/>
      <c r="L79" s="155"/>
      <c r="M79" s="155"/>
      <c r="N79" s="155"/>
      <c r="O79" s="155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</row>
    <row r="80" ht="15.75" customHeight="1" outlineLevel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155"/>
      <c r="L80" s="155"/>
      <c r="M80" s="155"/>
      <c r="N80" s="155"/>
      <c r="O80" s="155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</row>
    <row r="81" ht="15.75" customHeight="1" outlineLevel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155"/>
      <c r="L81" s="155"/>
      <c r="M81" s="155"/>
      <c r="N81" s="155"/>
      <c r="O81" s="155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</row>
    <row r="82" ht="15.75" customHeight="1" outlineLevel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155"/>
      <c r="L82" s="155"/>
      <c r="M82" s="155"/>
      <c r="N82" s="155"/>
      <c r="O82" s="155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</row>
    <row r="83" ht="15.75" customHeight="1" outlineLevel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155"/>
      <c r="L83" s="155"/>
      <c r="M83" s="155"/>
      <c r="N83" s="155"/>
      <c r="O83" s="155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</row>
    <row r="84" ht="15.75" customHeight="1" outlineLevel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155"/>
      <c r="L84" s="155"/>
      <c r="M84" s="155"/>
      <c r="N84" s="155"/>
      <c r="O84" s="155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</row>
    <row r="85" ht="15.75" customHeight="1" outlineLevel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155"/>
      <c r="L85" s="155"/>
      <c r="M85" s="155"/>
      <c r="N85" s="155"/>
      <c r="O85" s="155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</row>
    <row r="86" ht="15.75" customHeight="1" outlineLevel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155"/>
      <c r="L86" s="155"/>
      <c r="M86" s="155"/>
      <c r="N86" s="155"/>
      <c r="O86" s="155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</row>
    <row r="87" ht="15.75" customHeight="1" outlineLevel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155"/>
      <c r="L87" s="155"/>
      <c r="M87" s="155"/>
      <c r="N87" s="155"/>
      <c r="O87" s="155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</row>
    <row r="88" ht="15.75" customHeight="1" outlineLevel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155"/>
      <c r="L88" s="155"/>
      <c r="M88" s="155"/>
      <c r="N88" s="155"/>
      <c r="O88" s="155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</row>
    <row r="89" ht="15.75" customHeight="1" outlineLevel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155"/>
      <c r="L89" s="155"/>
      <c r="M89" s="155"/>
      <c r="N89" s="155"/>
      <c r="O89" s="155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</row>
    <row r="90" ht="15.75" customHeight="1" outlineLevel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155"/>
      <c r="L90" s="155"/>
      <c r="M90" s="155"/>
      <c r="N90" s="155"/>
      <c r="O90" s="155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</row>
    <row r="91" ht="15.75" customHeight="1" outlineLevel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155"/>
      <c r="L91" s="155"/>
      <c r="M91" s="155"/>
      <c r="N91" s="155"/>
      <c r="O91" s="155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</row>
    <row r="92" ht="15.75" customHeight="1" outlineLevel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155"/>
      <c r="L92" s="155"/>
      <c r="M92" s="155"/>
      <c r="N92" s="155"/>
      <c r="O92" s="155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</row>
    <row r="93" ht="15.75" customHeight="1" outlineLevel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155"/>
      <c r="L93" s="155"/>
      <c r="M93" s="155"/>
      <c r="N93" s="155"/>
      <c r="O93" s="155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</row>
    <row r="94" ht="15.75" customHeight="1" outlineLevel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155"/>
      <c r="L94" s="155"/>
      <c r="M94" s="155"/>
      <c r="N94" s="155"/>
      <c r="O94" s="155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</row>
    <row r="95" ht="15.75" customHeight="1" outlineLevel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155"/>
      <c r="L95" s="155"/>
      <c r="M95" s="155"/>
      <c r="N95" s="155"/>
      <c r="O95" s="155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</row>
    <row r="96" ht="15.75" customHeight="1" outlineLevel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155"/>
      <c r="L96" s="155"/>
      <c r="M96" s="155"/>
      <c r="N96" s="155"/>
      <c r="O96" s="155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</row>
    <row r="97" ht="15.75" customHeight="1">
      <c r="A97" s="117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</row>
    <row r="98" ht="15.75" customHeight="1">
      <c r="A98" s="117"/>
      <c r="B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</row>
    <row r="99" ht="15.75" customHeight="1">
      <c r="A99" s="117"/>
      <c r="B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</row>
    <row r="100" ht="15.75" customHeight="1">
      <c r="A100" s="118"/>
      <c r="B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</row>
    <row r="101" ht="15.75" customHeight="1">
      <c r="A101" s="118"/>
      <c r="B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</row>
    <row r="102" ht="15.75" customHeight="1">
      <c r="A102" s="118"/>
      <c r="B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</row>
    <row r="103" ht="15.75" customHeight="1">
      <c r="A103" s="118"/>
      <c r="B103" s="118"/>
      <c r="P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</row>
    <row r="104" ht="15.75" customHeight="1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</row>
    <row r="105" ht="15.75" customHeight="1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</row>
    <row r="106" ht="15.7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</row>
    <row r="107" ht="15.7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</row>
    <row r="108" ht="15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</row>
    <row r="109" ht="15.7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</row>
    <row r="110" ht="15.7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</row>
    <row r="111" ht="15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</row>
    <row r="112" ht="15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</row>
    <row r="113" ht="15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</row>
    <row r="114" ht="15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</row>
    <row r="115" ht="15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</row>
    <row r="116" ht="15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</row>
    <row r="117" ht="15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</row>
    <row r="118" ht="15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</row>
    <row r="119" ht="15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</row>
    <row r="120" ht="15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</row>
    <row r="121" ht="15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</row>
    <row r="122" ht="15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</row>
    <row r="123" ht="15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</row>
    <row r="124" ht="15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</row>
    <row r="125" ht="15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</row>
    <row r="126" ht="15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</row>
    <row r="127" ht="15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</row>
    <row r="128" ht="15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</row>
    <row r="129" ht="15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</row>
    <row r="130" ht="15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</row>
    <row r="131" ht="15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</row>
    <row r="132" ht="15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</row>
    <row r="133" ht="15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</row>
    <row r="134" ht="15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</row>
    <row r="135" ht="15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</row>
    <row r="136" ht="15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</row>
    <row r="137" ht="15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</row>
    <row r="138" ht="15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</row>
    <row r="139" ht="15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</row>
    <row r="140" ht="15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</row>
    <row r="141" ht="15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</row>
    <row r="142" ht="15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</row>
    <row r="143" ht="15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</row>
    <row r="144" ht="15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</row>
    <row r="145" ht="15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</row>
    <row r="146" ht="15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</row>
    <row r="147" ht="15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</row>
    <row r="148" ht="15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</row>
    <row r="149" ht="15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</row>
    <row r="150" ht="15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</row>
    <row r="151" ht="15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</row>
    <row r="152" ht="15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</row>
    <row r="153" ht="15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</row>
    <row r="154" ht="15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</row>
    <row r="155" ht="15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</row>
    <row r="156" ht="15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</row>
    <row r="157" ht="15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</row>
    <row r="158" ht="15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</row>
    <row r="159" ht="15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</row>
    <row r="160" ht="15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</row>
    <row r="161" ht="15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</row>
    <row r="162" ht="15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</row>
    <row r="163" ht="15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</row>
    <row r="164" ht="15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</row>
    <row r="165" ht="15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</row>
    <row r="166" ht="15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</row>
    <row r="167" ht="15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</row>
    <row r="168" ht="15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</row>
    <row r="169" ht="15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</row>
    <row r="170" ht="15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</row>
    <row r="171" ht="15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</row>
    <row r="172" ht="15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</row>
    <row r="173" ht="15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</row>
    <row r="174" ht="15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</row>
    <row r="175" ht="15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</row>
    <row r="176" ht="15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</row>
    <row r="177" ht="15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</row>
    <row r="178" ht="15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</row>
    <row r="179" ht="15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</row>
    <row r="180" ht="15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</row>
    <row r="181" ht="15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</row>
    <row r="182" ht="15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</row>
    <row r="183" ht="15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</row>
    <row r="184" ht="15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</row>
    <row r="185" ht="15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</row>
    <row r="186" ht="15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</row>
    <row r="187" ht="15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</row>
    <row r="188" ht="15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</row>
    <row r="189" ht="15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</row>
    <row r="190" ht="15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</row>
    <row r="191" ht="15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</row>
    <row r="192" ht="15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</row>
    <row r="193" ht="15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</row>
    <row r="194" ht="15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</row>
    <row r="195" ht="15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</row>
    <row r="196" ht="15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</row>
    <row r="197" ht="15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</row>
    <row r="198" ht="15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</row>
    <row r="199" ht="15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</row>
    <row r="200" ht="15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</row>
    <row r="201" ht="15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</row>
    <row r="202" ht="15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</row>
    <row r="203" ht="15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</row>
    <row r="204" ht="15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</row>
    <row r="205" ht="15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</row>
    <row r="206" ht="15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</row>
    <row r="207" ht="15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</row>
    <row r="208" ht="15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</row>
    <row r="209" ht="15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</row>
    <row r="210" ht="15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</row>
    <row r="211" ht="15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</row>
    <row r="212" ht="15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</row>
    <row r="213" ht="15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</row>
    <row r="214" ht="15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</row>
    <row r="215" ht="15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</row>
    <row r="216" ht="15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</row>
    <row r="217" ht="15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</row>
    <row r="218" ht="15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</row>
    <row r="219" ht="15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</row>
    <row r="220" ht="15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</row>
    <row r="221" ht="15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</row>
    <row r="222" ht="15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</row>
    <row r="223" ht="15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</row>
    <row r="224" ht="15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</row>
    <row r="225" ht="15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</row>
    <row r="226" ht="15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</row>
    <row r="227" ht="15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</row>
    <row r="228" ht="15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</row>
    <row r="229" ht="15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</row>
    <row r="230" ht="15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</row>
    <row r="231" ht="15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</row>
    <row r="232" ht="15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</row>
    <row r="233" ht="15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</row>
    <row r="234" ht="15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</row>
    <row r="235" ht="15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</row>
    <row r="236" ht="15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</row>
    <row r="237" ht="15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</row>
    <row r="238" ht="15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</row>
    <row r="239" ht="15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</row>
    <row r="240" ht="15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</row>
    <row r="241" ht="15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</row>
    <row r="242" ht="15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</row>
    <row r="243" ht="15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</row>
    <row r="244" ht="15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</row>
    <row r="245" ht="15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</row>
    <row r="246" ht="15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</row>
    <row r="247" ht="15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</row>
    <row r="248" ht="15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</row>
    <row r="249" ht="15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</row>
    <row r="250" ht="15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</row>
    <row r="251" ht="15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</row>
    <row r="252" ht="15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</row>
    <row r="253" ht="15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</row>
    <row r="254" ht="15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</row>
    <row r="255" ht="15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</row>
    <row r="256" ht="15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</row>
    <row r="257" ht="15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</row>
    <row r="258" ht="15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</row>
    <row r="259" ht="15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</row>
    <row r="260" ht="15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</row>
    <row r="261" ht="15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</row>
    <row r="262" ht="15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</row>
    <row r="263" ht="15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</row>
    <row r="264" ht="15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</row>
    <row r="265" ht="15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</row>
    <row r="266" ht="15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</row>
    <row r="267" ht="15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</row>
    <row r="268" ht="15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</row>
    <row r="269" ht="15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</row>
    <row r="270" ht="15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</row>
    <row r="271" ht="15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</row>
    <row r="272" ht="15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</row>
    <row r="273" ht="15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</row>
    <row r="274" ht="15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</row>
    <row r="275" ht="15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</row>
    <row r="276" ht="15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</row>
    <row r="277" ht="15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</row>
    <row r="278" ht="15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</row>
    <row r="279" ht="15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</row>
    <row r="280" ht="15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</row>
    <row r="281" ht="15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</row>
    <row r="282" ht="15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</row>
    <row r="283" ht="15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</row>
    <row r="284" ht="15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</row>
    <row r="285" ht="15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</row>
    <row r="286" ht="15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</row>
    <row r="287" ht="15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</row>
    <row r="288" ht="15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</row>
    <row r="289" ht="15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</row>
    <row r="290" ht="15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</row>
    <row r="291" ht="15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</row>
    <row r="292" ht="15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</row>
    <row r="293" ht="15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</row>
    <row r="294" ht="15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</row>
    <row r="295" ht="15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</row>
    <row r="296" ht="15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</row>
    <row r="297" ht="15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</row>
    <row r="298" ht="15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</row>
    <row r="299" ht="15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</row>
    <row r="300" ht="15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</row>
    <row r="301" ht="15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</row>
    <row r="302" ht="15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</row>
    <row r="303" ht="15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</row>
    <row r="304" ht="15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</row>
    <row r="305" ht="15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</row>
    <row r="306" ht="15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</row>
    <row r="307" ht="15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</row>
    <row r="308" ht="15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</row>
    <row r="309" ht="15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</row>
    <row r="310" ht="15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</row>
    <row r="311" ht="15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</row>
    <row r="312" ht="15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</row>
    <row r="313" ht="15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</row>
    <row r="314" ht="15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</row>
    <row r="315" ht="15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</row>
    <row r="316" ht="15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</row>
    <row r="317" ht="15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</row>
    <row r="318" ht="15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</row>
    <row r="319" ht="15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</row>
    <row r="320" ht="15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</row>
    <row r="321" ht="15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</row>
    <row r="322" ht="15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</row>
    <row r="323" ht="15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</row>
    <row r="324" ht="15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</row>
    <row r="325" ht="15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</row>
    <row r="326" ht="15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</row>
    <row r="327" ht="15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</row>
    <row r="328" ht="15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</row>
    <row r="329" ht="15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</row>
    <row r="330" ht="15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</row>
    <row r="331" ht="15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</row>
    <row r="332" ht="15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</row>
    <row r="333" ht="15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</row>
    <row r="334" ht="15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</row>
    <row r="335" ht="15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</row>
    <row r="336" ht="15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</row>
    <row r="337" ht="15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</row>
    <row r="338" ht="15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</row>
    <row r="339" ht="15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</row>
    <row r="340" ht="15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</row>
    <row r="341" ht="15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</row>
    <row r="342" ht="15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</row>
    <row r="343" ht="15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</row>
    <row r="344" ht="15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</row>
    <row r="345" ht="15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</row>
    <row r="346" ht="15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</row>
    <row r="347" ht="15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</row>
    <row r="348" ht="15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</row>
    <row r="349" ht="15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</row>
    <row r="350" ht="15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</row>
    <row r="351" ht="15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</row>
    <row r="352" ht="15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</row>
    <row r="353" ht="15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</row>
    <row r="354" ht="15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</row>
    <row r="355" ht="15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</row>
    <row r="356" ht="15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</row>
    <row r="357" ht="15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</row>
    <row r="358" ht="15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</row>
    <row r="359" ht="15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</row>
    <row r="360" ht="15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</row>
    <row r="361" ht="15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</row>
    <row r="362" ht="15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</row>
    <row r="363" ht="15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</row>
    <row r="364" ht="15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</row>
    <row r="365" ht="15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</row>
    <row r="366" ht="15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</row>
    <row r="367" ht="15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</row>
    <row r="368" ht="15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</row>
    <row r="369" ht="15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</row>
    <row r="370" ht="15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</row>
    <row r="371" ht="15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</row>
    <row r="372" ht="15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</row>
    <row r="373" ht="15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</row>
    <row r="374" ht="15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</row>
    <row r="375" ht="15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</row>
    <row r="376" ht="15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</row>
    <row r="377" ht="15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</row>
    <row r="378" ht="15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</row>
    <row r="379" ht="15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</row>
    <row r="380" ht="15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</row>
    <row r="381" ht="15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</row>
    <row r="382" ht="15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</row>
    <row r="383" ht="15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</row>
    <row r="384" ht="15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</row>
    <row r="385" ht="15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</row>
    <row r="386" ht="15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</row>
    <row r="387" ht="15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</row>
    <row r="388" ht="15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</row>
    <row r="389" ht="15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</row>
    <row r="390" ht="15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</row>
    <row r="391" ht="15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</row>
    <row r="392" ht="15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</row>
    <row r="393" ht="15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</row>
    <row r="394" ht="15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</row>
    <row r="395" ht="15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</row>
    <row r="396" ht="15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</row>
    <row r="397" ht="15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</row>
    <row r="398" ht="15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</row>
    <row r="399" ht="15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</row>
    <row r="400" ht="15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</row>
    <row r="401" ht="15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</row>
    <row r="402" ht="15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</row>
    <row r="403" ht="15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</row>
    <row r="404" ht="15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</row>
    <row r="405" ht="15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</row>
    <row r="406" ht="15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</row>
    <row r="407" ht="15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</row>
    <row r="408" ht="15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</row>
    <row r="409" ht="15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</row>
    <row r="410" ht="15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</row>
    <row r="411" ht="15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</row>
    <row r="412" ht="15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</row>
    <row r="413" ht="15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</row>
    <row r="414" ht="15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</row>
    <row r="415" ht="15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</row>
    <row r="416" ht="15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</row>
    <row r="417" ht="15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</row>
    <row r="418" ht="15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</row>
    <row r="419" ht="15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</row>
    <row r="420" ht="15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</row>
    <row r="421" ht="15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</row>
    <row r="422" ht="15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</row>
    <row r="423" ht="15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</row>
    <row r="424" ht="15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</row>
    <row r="425" ht="15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</row>
    <row r="426" ht="15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</row>
    <row r="427" ht="15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</row>
    <row r="428" ht="15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</row>
    <row r="429" ht="15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</row>
    <row r="430" ht="15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</row>
    <row r="431" ht="15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</row>
    <row r="432" ht="15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</row>
    <row r="433" ht="15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</row>
    <row r="434" ht="15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</row>
    <row r="435" ht="15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</row>
    <row r="436" ht="15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</row>
    <row r="437" ht="15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</row>
    <row r="438" ht="15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</row>
    <row r="439" ht="15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</row>
    <row r="440" ht="15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</row>
    <row r="441" ht="15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</row>
    <row r="442" ht="15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</row>
    <row r="443" ht="15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</row>
    <row r="444" ht="15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</row>
    <row r="445" ht="15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</row>
    <row r="446" ht="15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</row>
    <row r="447" ht="15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</row>
    <row r="448" ht="15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</row>
    <row r="449" ht="15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</row>
    <row r="450" ht="15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</row>
    <row r="451" ht="15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</row>
    <row r="452" ht="15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</row>
    <row r="453" ht="15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</row>
    <row r="454" ht="15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</row>
    <row r="455" ht="15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</row>
    <row r="456" ht="15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</row>
    <row r="457" ht="15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</row>
    <row r="458" ht="15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</row>
    <row r="459" ht="15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</row>
    <row r="460" ht="15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</row>
    <row r="461" ht="15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</row>
    <row r="462" ht="15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</row>
    <row r="463" ht="15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</row>
    <row r="464" ht="15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</row>
    <row r="465" ht="15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</row>
    <row r="466" ht="15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</row>
    <row r="467" ht="15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</row>
    <row r="468" ht="15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</row>
    <row r="469" ht="15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</row>
    <row r="470" ht="15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</row>
    <row r="471" ht="15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</row>
    <row r="472" ht="15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</row>
    <row r="473" ht="15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</row>
    <row r="474" ht="15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</row>
    <row r="475" ht="15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</row>
    <row r="476" ht="15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</row>
    <row r="477" ht="15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</row>
    <row r="478" ht="15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</row>
    <row r="479" ht="15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</row>
    <row r="480" ht="15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</row>
    <row r="481" ht="15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</row>
    <row r="482" ht="15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</row>
    <row r="483" ht="15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</row>
    <row r="484" ht="15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</row>
    <row r="485" ht="15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</row>
    <row r="486" ht="15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</row>
    <row r="487" ht="15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</row>
    <row r="488" ht="15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</row>
    <row r="489" ht="15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</row>
    <row r="490" ht="15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</row>
    <row r="491" ht="15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</row>
    <row r="492" ht="15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</row>
    <row r="493" ht="15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</row>
    <row r="494" ht="15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</row>
    <row r="495" ht="15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</row>
    <row r="496" ht="15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</row>
    <row r="497" ht="15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</row>
    <row r="498" ht="15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</row>
    <row r="499" ht="15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</row>
    <row r="500" ht="15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</row>
    <row r="501" ht="15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</row>
    <row r="502" ht="15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</row>
    <row r="503" ht="15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</row>
    <row r="504" ht="15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</row>
    <row r="505" ht="15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</row>
    <row r="506" ht="15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</row>
    <row r="507" ht="15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</row>
    <row r="508" ht="15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</row>
    <row r="509" ht="15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</row>
    <row r="510" ht="15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</row>
    <row r="511" ht="15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</row>
    <row r="512" ht="15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</row>
    <row r="513" ht="15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</row>
    <row r="514" ht="15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</row>
    <row r="515" ht="15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</row>
    <row r="516" ht="15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</row>
    <row r="517" ht="15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</row>
    <row r="518" ht="15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</row>
    <row r="519" ht="15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</row>
    <row r="520" ht="15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</row>
    <row r="521" ht="15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</row>
    <row r="522" ht="15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</row>
    <row r="523" ht="15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</row>
    <row r="524" ht="15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</row>
    <row r="525" ht="15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</row>
    <row r="526" ht="15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</row>
    <row r="527" ht="15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</row>
    <row r="528" ht="15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</row>
    <row r="529" ht="15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</row>
    <row r="530" ht="15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</row>
    <row r="531" ht="15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</row>
    <row r="532" ht="15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</row>
    <row r="533" ht="15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</row>
    <row r="534" ht="15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</row>
    <row r="535" ht="15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</row>
    <row r="536" ht="15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</row>
    <row r="537" ht="15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</row>
    <row r="538" ht="15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</row>
    <row r="539" ht="15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</row>
    <row r="540" ht="15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</row>
    <row r="541" ht="15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</row>
    <row r="542" ht="15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</row>
    <row r="543" ht="15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</row>
    <row r="544" ht="15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</row>
    <row r="545" ht="15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</row>
    <row r="546" ht="15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</row>
    <row r="547" ht="15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</row>
    <row r="548" ht="15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</row>
    <row r="549" ht="15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</row>
    <row r="550" ht="15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</row>
    <row r="551" ht="15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</row>
    <row r="552" ht="15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</row>
    <row r="553" ht="15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</row>
    <row r="554" ht="15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</row>
    <row r="555" ht="15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</row>
    <row r="556" ht="15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</row>
    <row r="557" ht="15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</row>
    <row r="558" ht="15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</row>
    <row r="559" ht="15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</row>
    <row r="560" ht="15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</row>
    <row r="561" ht="15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</row>
    <row r="562" ht="15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</row>
    <row r="563" ht="15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</row>
    <row r="564" ht="15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</row>
    <row r="565" ht="15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</row>
    <row r="566" ht="15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</row>
    <row r="567" ht="15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</row>
    <row r="568" ht="15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</row>
    <row r="569" ht="15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</row>
    <row r="570" ht="15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</row>
    <row r="571" ht="15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</row>
    <row r="572" ht="15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</row>
    <row r="573" ht="15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</row>
    <row r="574" ht="15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</row>
    <row r="575" ht="15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</row>
    <row r="576" ht="15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</row>
    <row r="577" ht="15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</row>
    <row r="578" ht="15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</row>
    <row r="579" ht="15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</row>
    <row r="580" ht="15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</row>
    <row r="581" ht="15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</row>
    <row r="582" ht="15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</row>
    <row r="583" ht="15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</row>
    <row r="584" ht="15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</row>
    <row r="585" ht="15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</row>
    <row r="586" ht="15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</row>
    <row r="587" ht="15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</row>
    <row r="588" ht="15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</row>
    <row r="589" ht="15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</row>
    <row r="590" ht="15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</row>
    <row r="591" ht="15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</row>
    <row r="592" ht="15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</row>
    <row r="593" ht="15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</row>
    <row r="594" ht="15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</row>
    <row r="595" ht="15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</row>
    <row r="596" ht="15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</row>
    <row r="597" ht="15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</row>
    <row r="598" ht="15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</row>
    <row r="599" ht="15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</row>
    <row r="600" ht="15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</row>
    <row r="601" ht="15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</row>
    <row r="602" ht="15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</row>
    <row r="603" ht="15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</row>
    <row r="604" ht="15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</row>
    <row r="605" ht="15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</row>
    <row r="606" ht="15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</row>
    <row r="607" ht="15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</row>
    <row r="608" ht="15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</row>
    <row r="609" ht="15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</row>
    <row r="610" ht="15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</row>
    <row r="611" ht="15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</row>
    <row r="612" ht="15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</row>
    <row r="613" ht="15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</row>
    <row r="614" ht="15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</row>
    <row r="615" ht="15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</row>
    <row r="616" ht="15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</row>
    <row r="617" ht="15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</row>
    <row r="618" ht="15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</row>
    <row r="619" ht="15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</row>
    <row r="620" ht="15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</row>
    <row r="621" ht="15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</row>
    <row r="622" ht="15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</row>
    <row r="623" ht="15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</row>
    <row r="624" ht="15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</row>
    <row r="625" ht="15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</row>
    <row r="626" ht="15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</row>
    <row r="627" ht="15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</row>
    <row r="628" ht="15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</row>
    <row r="629" ht="15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</row>
    <row r="630" ht="15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</row>
    <row r="631" ht="15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</row>
    <row r="632" ht="15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</row>
    <row r="633" ht="15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</row>
    <row r="634" ht="15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</row>
    <row r="635" ht="15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</row>
    <row r="636" ht="15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</row>
    <row r="637" ht="15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</row>
    <row r="638" ht="15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</row>
    <row r="639" ht="15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</row>
    <row r="640" ht="15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</row>
    <row r="641" ht="15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</row>
    <row r="642" ht="15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</row>
    <row r="643" ht="15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</row>
    <row r="644" ht="15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</row>
    <row r="645" ht="15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</row>
    <row r="646" ht="15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</row>
    <row r="647" ht="15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</row>
    <row r="648" ht="15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</row>
    <row r="649" ht="15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</row>
    <row r="650" ht="15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</row>
    <row r="651" ht="15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</row>
    <row r="652" ht="15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</row>
    <row r="653" ht="15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</row>
    <row r="654" ht="15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</row>
    <row r="655" ht="15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</row>
    <row r="656" ht="15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</row>
    <row r="657" ht="15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</row>
    <row r="658" ht="15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</row>
    <row r="659" ht="15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</row>
    <row r="660" ht="15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</row>
    <row r="661" ht="15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</row>
    <row r="662" ht="15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</row>
    <row r="663" ht="15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</row>
    <row r="664" ht="15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</row>
    <row r="665" ht="15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</row>
    <row r="666" ht="15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</row>
    <row r="667" ht="15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</row>
    <row r="668" ht="15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</row>
    <row r="669" ht="15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</row>
    <row r="670" ht="15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</row>
    <row r="671" ht="15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</row>
    <row r="672" ht="15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</row>
    <row r="673" ht="15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</row>
    <row r="674" ht="15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</row>
    <row r="675" ht="15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</row>
    <row r="676" ht="15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</row>
    <row r="677" ht="15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</row>
    <row r="678" ht="15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</row>
    <row r="679" ht="15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</row>
    <row r="680" ht="15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</row>
    <row r="681" ht="15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</row>
    <row r="682" ht="15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</row>
    <row r="683" ht="15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</row>
    <row r="684" ht="15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</row>
    <row r="685" ht="15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</row>
    <row r="686" ht="15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</row>
    <row r="687" ht="15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</row>
    <row r="688" ht="15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</row>
    <row r="689" ht="15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</row>
    <row r="690" ht="15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</row>
    <row r="691" ht="15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</row>
    <row r="692" ht="15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</row>
    <row r="693" ht="15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</row>
    <row r="694" ht="15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</row>
    <row r="695" ht="15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</row>
    <row r="696" ht="15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</row>
    <row r="697" ht="15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</row>
    <row r="698" ht="15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</row>
    <row r="699" ht="15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</row>
    <row r="700" ht="15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</row>
    <row r="701" ht="15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</row>
    <row r="702" ht="15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</row>
    <row r="703" ht="15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</row>
    <row r="704" ht="15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</row>
    <row r="705" ht="15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</row>
    <row r="706" ht="15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</row>
    <row r="707" ht="15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</row>
    <row r="708" ht="15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</row>
    <row r="709" ht="15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</row>
    <row r="710" ht="15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</row>
    <row r="711" ht="15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</row>
    <row r="712" ht="15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</row>
    <row r="713" ht="15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</row>
    <row r="714" ht="15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</row>
    <row r="715" ht="15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</row>
    <row r="716" ht="15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</row>
    <row r="717" ht="15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</row>
    <row r="718" ht="15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</row>
    <row r="719" ht="15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</row>
    <row r="720" ht="15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</row>
    <row r="721" ht="15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</row>
    <row r="722" ht="15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</row>
    <row r="723" ht="15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</row>
    <row r="724" ht="15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</row>
    <row r="725" ht="15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</row>
    <row r="726" ht="15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</row>
    <row r="727" ht="15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</row>
    <row r="728" ht="15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</row>
    <row r="729" ht="15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</row>
    <row r="730" ht="15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</row>
    <row r="731" ht="15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</row>
    <row r="732" ht="15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</row>
    <row r="733" ht="15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</row>
    <row r="734" ht="15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</row>
    <row r="735" ht="15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</row>
    <row r="736" ht="15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</row>
    <row r="737" ht="15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</row>
    <row r="738" ht="15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</row>
    <row r="739" ht="15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</row>
    <row r="740" ht="15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</row>
    <row r="741" ht="15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</row>
    <row r="742" ht="15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</row>
    <row r="743" ht="15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</row>
    <row r="744" ht="15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</row>
    <row r="745" ht="15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</row>
    <row r="746" ht="15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</row>
    <row r="747" ht="15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</row>
    <row r="748" ht="15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</row>
    <row r="749" ht="15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</row>
    <row r="750" ht="15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</row>
    <row r="751" ht="15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</row>
    <row r="752" ht="15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</row>
    <row r="753" ht="15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</row>
    <row r="754" ht="15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</row>
    <row r="755" ht="15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</row>
    <row r="756" ht="15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</row>
    <row r="757" ht="15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</row>
    <row r="758" ht="15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</row>
    <row r="759" ht="15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</row>
    <row r="760" ht="15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</row>
    <row r="761" ht="15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</row>
    <row r="762" ht="15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</row>
    <row r="763" ht="15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</row>
    <row r="764" ht="15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</row>
    <row r="765" ht="15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</row>
    <row r="766" ht="15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</row>
    <row r="767" ht="15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</row>
    <row r="768" ht="15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</row>
    <row r="769" ht="15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</row>
    <row r="770" ht="15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</row>
    <row r="771" ht="15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</row>
    <row r="772" ht="15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</row>
    <row r="773" ht="15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</row>
    <row r="774" ht="15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</row>
    <row r="775" ht="15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</row>
    <row r="776" ht="15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</row>
    <row r="777" ht="15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</row>
    <row r="778" ht="15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</row>
    <row r="779" ht="15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</row>
    <row r="780" ht="15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</row>
    <row r="781" ht="15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</row>
    <row r="782" ht="15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</row>
    <row r="783" ht="15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</row>
    <row r="784" ht="15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</row>
    <row r="785" ht="15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</row>
    <row r="786" ht="15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</row>
    <row r="787" ht="15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</row>
    <row r="788" ht="15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</row>
    <row r="789" ht="15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</row>
    <row r="790" ht="15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</row>
    <row r="791" ht="15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</row>
    <row r="792" ht="15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</row>
    <row r="793" ht="15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</row>
    <row r="794" ht="15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</row>
    <row r="795" ht="15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</row>
    <row r="796" ht="15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</row>
    <row r="797" ht="15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</row>
    <row r="798" ht="15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</row>
    <row r="799" ht="15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</row>
    <row r="800" ht="15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</row>
    <row r="801" ht="15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</row>
    <row r="802" ht="15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</row>
    <row r="803" ht="15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</row>
    <row r="804" ht="15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</row>
    <row r="805" ht="15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</row>
    <row r="806" ht="15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</row>
    <row r="807" ht="15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</row>
    <row r="808" ht="15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</row>
    <row r="809" ht="15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</row>
    <row r="810" ht="15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</row>
    <row r="811" ht="15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</row>
    <row r="812" ht="15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</row>
    <row r="813" ht="15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</row>
    <row r="814" ht="15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</row>
    <row r="815" ht="15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</row>
    <row r="816" ht="15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</row>
    <row r="817" ht="15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</row>
    <row r="818" ht="15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</row>
    <row r="819" ht="15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</row>
    <row r="820" ht="15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</row>
    <row r="821" ht="15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</row>
    <row r="822" ht="15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</row>
    <row r="823" ht="15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</row>
    <row r="824" ht="15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</row>
    <row r="825" ht="15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</row>
    <row r="826" ht="15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</row>
    <row r="827" ht="15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</row>
    <row r="828" ht="15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</row>
    <row r="829" ht="15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</row>
    <row r="830" ht="15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</row>
    <row r="831" ht="15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</row>
    <row r="832" ht="15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</row>
    <row r="833" ht="15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</row>
    <row r="834" ht="15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</row>
    <row r="835" ht="15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</row>
    <row r="836" ht="15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</row>
    <row r="837" ht="15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</row>
    <row r="838" ht="15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</row>
    <row r="839" ht="15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</row>
    <row r="840" ht="15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</row>
    <row r="841" ht="15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</row>
    <row r="842" ht="15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</row>
    <row r="843" ht="15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</row>
    <row r="844" ht="15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</row>
    <row r="845" ht="15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  <c r="AG845" s="118"/>
    </row>
    <row r="846" ht="15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  <c r="AG846" s="118"/>
    </row>
    <row r="847" ht="15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  <c r="AG847" s="118"/>
    </row>
    <row r="848" ht="15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  <c r="AG848" s="118"/>
    </row>
    <row r="849" ht="15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  <c r="AG849" s="118"/>
    </row>
    <row r="850" ht="15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  <c r="AG850" s="118"/>
    </row>
    <row r="851" ht="15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  <c r="AG851" s="118"/>
    </row>
    <row r="852" ht="15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  <c r="AG852" s="118"/>
    </row>
    <row r="853" ht="15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  <c r="AG853" s="118"/>
    </row>
    <row r="854" ht="15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  <c r="AG854" s="118"/>
    </row>
    <row r="855" ht="15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  <c r="AG855" s="118"/>
    </row>
    <row r="856" ht="15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</row>
    <row r="857" ht="15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</row>
    <row r="858" ht="15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</row>
    <row r="859" ht="15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</row>
    <row r="860" ht="15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</row>
    <row r="861" ht="15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</row>
    <row r="862" ht="15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</row>
    <row r="863" ht="15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</row>
    <row r="864" ht="15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</row>
    <row r="865" ht="15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</row>
    <row r="866" ht="15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</row>
    <row r="867" ht="15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</row>
    <row r="868" ht="15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</row>
    <row r="869" ht="15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</row>
    <row r="870" ht="15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</row>
    <row r="871" ht="15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</row>
    <row r="872" ht="15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</row>
    <row r="873" ht="15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</row>
    <row r="874" ht="15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</row>
    <row r="875" ht="15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</row>
    <row r="876" ht="15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</row>
    <row r="877" ht="15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  <c r="AG877" s="118"/>
    </row>
    <row r="878" ht="15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  <c r="AG878" s="118"/>
    </row>
    <row r="879" ht="15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  <c r="AG879" s="118"/>
    </row>
    <row r="880" ht="15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  <c r="AG880" s="118"/>
    </row>
    <row r="881" ht="15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  <c r="AG881" s="118"/>
    </row>
    <row r="882" ht="15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  <c r="AG882" s="118"/>
    </row>
    <row r="883" ht="15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  <c r="AG883" s="118"/>
    </row>
    <row r="884" ht="15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  <c r="AG884" s="118"/>
    </row>
    <row r="885" ht="15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  <c r="AG885" s="118"/>
    </row>
    <row r="886" ht="15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  <c r="AG886" s="118"/>
    </row>
    <row r="887" ht="15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</row>
    <row r="888" ht="15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  <c r="AG888" s="118"/>
    </row>
    <row r="889" ht="15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  <c r="AG889" s="118"/>
    </row>
    <row r="890" ht="15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  <c r="AG890" s="118"/>
    </row>
    <row r="891" ht="15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  <c r="AG891" s="118"/>
    </row>
    <row r="892" ht="15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  <c r="AG892" s="118"/>
    </row>
    <row r="893" ht="15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  <c r="AG893" s="118"/>
    </row>
    <row r="894" ht="15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  <c r="AG894" s="118"/>
    </row>
    <row r="895" ht="15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  <c r="AG895" s="118"/>
    </row>
    <row r="896" ht="15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  <c r="AG896" s="118"/>
    </row>
    <row r="897" ht="15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  <c r="AG897" s="118"/>
    </row>
    <row r="898" ht="15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  <c r="AG898" s="118"/>
    </row>
    <row r="899" ht="15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  <c r="AG899" s="118"/>
    </row>
    <row r="900" ht="15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  <c r="AG900" s="118"/>
    </row>
    <row r="901" ht="15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  <c r="AG901" s="118"/>
    </row>
    <row r="902" ht="15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  <c r="AG902" s="118"/>
    </row>
    <row r="903" ht="15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  <c r="AG903" s="118"/>
    </row>
    <row r="904" ht="15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  <c r="AG904" s="118"/>
    </row>
    <row r="905" ht="15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  <c r="AG905" s="118"/>
    </row>
    <row r="906" ht="15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  <c r="AG906" s="118"/>
    </row>
    <row r="907" ht="15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  <c r="AG907" s="118"/>
    </row>
    <row r="908" ht="15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  <c r="AG908" s="118"/>
    </row>
    <row r="909" ht="15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  <c r="AG909" s="118"/>
    </row>
    <row r="910" ht="15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  <c r="AG910" s="118"/>
    </row>
    <row r="911" ht="15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  <c r="AG911" s="118"/>
    </row>
    <row r="912" ht="15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  <c r="AG912" s="118"/>
    </row>
    <row r="913" ht="15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  <c r="AG913" s="118"/>
    </row>
    <row r="914" ht="15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  <c r="AG914" s="118"/>
    </row>
    <row r="915" ht="15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  <c r="AG915" s="118"/>
    </row>
    <row r="916" ht="15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  <c r="AG916" s="118"/>
    </row>
    <row r="917" ht="15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  <c r="AG917" s="118"/>
    </row>
    <row r="918" ht="15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  <c r="AG918" s="118"/>
    </row>
    <row r="919" ht="15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  <c r="AG919" s="118"/>
    </row>
    <row r="920" ht="15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  <c r="AG920" s="118"/>
    </row>
    <row r="921" ht="15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  <c r="AG921" s="118"/>
    </row>
    <row r="922" ht="15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  <c r="AG922" s="118"/>
    </row>
    <row r="923" ht="15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  <c r="AG923" s="118"/>
    </row>
    <row r="924" ht="15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  <c r="AG924" s="118"/>
    </row>
    <row r="925" ht="15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  <c r="AG925" s="118"/>
    </row>
    <row r="926" ht="15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  <c r="AG926" s="118"/>
    </row>
    <row r="927" ht="15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  <c r="AG927" s="118"/>
    </row>
    <row r="928" ht="15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  <c r="AF928" s="118"/>
      <c r="AG928" s="118"/>
    </row>
    <row r="929" ht="15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  <c r="AF929" s="118"/>
      <c r="AG929" s="118"/>
    </row>
    <row r="930" ht="15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  <c r="AF930" s="118"/>
      <c r="AG930" s="118"/>
    </row>
    <row r="931" ht="15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  <c r="AF931" s="118"/>
      <c r="AG931" s="118"/>
    </row>
    <row r="932" ht="15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  <c r="AF932" s="118"/>
      <c r="AG932" s="118"/>
    </row>
    <row r="933" ht="15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  <c r="AF933" s="118"/>
      <c r="AG933" s="118"/>
    </row>
    <row r="934" ht="15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  <c r="AF934" s="118"/>
      <c r="AG934" s="118"/>
    </row>
    <row r="935" ht="15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  <c r="AF935" s="118"/>
      <c r="AG935" s="118"/>
    </row>
    <row r="936" ht="15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  <c r="AF936" s="118"/>
      <c r="AG936" s="118"/>
    </row>
    <row r="937" ht="15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  <c r="AF937" s="118"/>
      <c r="AG937" s="118"/>
    </row>
    <row r="938" ht="15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  <c r="AF938" s="118"/>
      <c r="AG938" s="118"/>
    </row>
    <row r="939" ht="15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  <c r="AF939" s="118"/>
      <c r="AG939" s="118"/>
    </row>
    <row r="940" ht="15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  <c r="AF940" s="118"/>
      <c r="AG940" s="118"/>
    </row>
    <row r="941" ht="15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  <c r="AF941" s="118"/>
      <c r="AG941" s="118"/>
    </row>
    <row r="942" ht="15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  <c r="AF942" s="118"/>
      <c r="AG942" s="118"/>
    </row>
    <row r="943" ht="15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  <c r="AF943" s="118"/>
      <c r="AG943" s="118"/>
    </row>
    <row r="944" ht="15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  <c r="AG944" s="118"/>
    </row>
    <row r="945" ht="15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  <c r="AG945" s="118"/>
    </row>
    <row r="946" ht="15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  <c r="AG946" s="118"/>
    </row>
    <row r="947" ht="15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  <c r="AG947" s="118"/>
    </row>
    <row r="948" ht="15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  <c r="AG948" s="118"/>
    </row>
    <row r="949" ht="15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  <c r="AG949" s="118"/>
    </row>
    <row r="950" ht="15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  <c r="AG950" s="118"/>
    </row>
    <row r="951" ht="15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  <c r="AG951" s="118"/>
    </row>
    <row r="952" ht="15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  <c r="AG952" s="118"/>
    </row>
    <row r="953" ht="15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  <c r="AG953" s="118"/>
    </row>
    <row r="954" ht="15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  <c r="AG954" s="118"/>
    </row>
    <row r="955" ht="15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  <c r="AG955" s="118"/>
    </row>
    <row r="956" ht="15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  <c r="AG956" s="118"/>
    </row>
    <row r="957" ht="15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  <c r="AG957" s="118"/>
    </row>
    <row r="958" ht="15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  <c r="AG958" s="118"/>
    </row>
    <row r="959" ht="15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  <c r="AG959" s="118"/>
    </row>
    <row r="960" ht="15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  <c r="AG960" s="118"/>
    </row>
    <row r="961" ht="15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  <c r="AG961" s="118"/>
    </row>
    <row r="962" ht="15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  <c r="AG962" s="118"/>
    </row>
    <row r="963" ht="15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  <c r="AG963" s="118"/>
    </row>
    <row r="964" ht="15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  <c r="AG964" s="118"/>
    </row>
    <row r="965" ht="15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  <c r="AG965" s="118"/>
    </row>
    <row r="966" ht="15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  <c r="AG966" s="118"/>
    </row>
    <row r="967" ht="15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  <c r="AG967" s="118"/>
    </row>
    <row r="968" ht="15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  <c r="AG968" s="118"/>
    </row>
    <row r="969" ht="15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  <c r="AG969" s="118"/>
    </row>
    <row r="970" ht="15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  <c r="AG970" s="118"/>
    </row>
    <row r="971" ht="15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  <c r="AG971" s="118"/>
    </row>
    <row r="972" ht="15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  <c r="AG972" s="118"/>
    </row>
    <row r="973" ht="15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  <c r="AG973" s="118"/>
    </row>
    <row r="974" ht="15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  <c r="AG974" s="118"/>
    </row>
    <row r="975" ht="15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  <c r="AG975" s="118"/>
    </row>
    <row r="976" ht="15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  <c r="AG976" s="118"/>
    </row>
    <row r="977" ht="15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  <c r="AG977" s="118"/>
    </row>
    <row r="978" ht="15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  <c r="AG978" s="118"/>
    </row>
    <row r="979" ht="15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  <c r="AG979" s="118"/>
    </row>
    <row r="980" ht="15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  <c r="AG980" s="118"/>
    </row>
    <row r="981" ht="15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  <c r="AG981" s="118"/>
    </row>
    <row r="982" ht="15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  <c r="AG982" s="118"/>
    </row>
    <row r="983" ht="15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  <c r="AG983" s="118"/>
    </row>
    <row r="984" ht="15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  <c r="AG984" s="118"/>
    </row>
    <row r="985" ht="15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  <c r="AG985" s="118"/>
    </row>
    <row r="986" ht="15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  <c r="AG986" s="118"/>
    </row>
    <row r="987" ht="15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  <c r="AG987" s="118"/>
    </row>
    <row r="988" ht="15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  <c r="AG988" s="118"/>
    </row>
    <row r="989" ht="15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  <c r="AF989" s="118"/>
      <c r="AG989" s="118"/>
    </row>
    <row r="990" ht="15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  <c r="AG990" s="118"/>
    </row>
    <row r="991" ht="15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  <c r="AF991" s="118"/>
      <c r="AG991" s="118"/>
    </row>
    <row r="992" ht="15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  <c r="AF992" s="118"/>
      <c r="AG992" s="118"/>
    </row>
    <row r="993" ht="15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  <c r="AF993" s="118"/>
      <c r="AG993" s="118"/>
    </row>
    <row r="994" ht="15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  <c r="AF994" s="118"/>
      <c r="AG994" s="118"/>
    </row>
    <row r="995" ht="15.7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  <c r="AF995" s="118"/>
      <c r="AG995" s="118"/>
    </row>
    <row r="996" ht="15.7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  <c r="AF996" s="118"/>
      <c r="AG996" s="118"/>
    </row>
    <row r="997" ht="15.7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  <c r="AF997" s="118"/>
      <c r="AG997" s="118"/>
    </row>
    <row r="998" ht="15.7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  <c r="AF998" s="118"/>
      <c r="AG998" s="118"/>
    </row>
  </sheetData>
  <mergeCells count="24">
    <mergeCell ref="B1:J1"/>
    <mergeCell ref="K1:M1"/>
    <mergeCell ref="R2:S2"/>
    <mergeCell ref="R3:S3"/>
    <mergeCell ref="R5:S5"/>
    <mergeCell ref="R6:S6"/>
    <mergeCell ref="R7:S7"/>
    <mergeCell ref="R8:S8"/>
    <mergeCell ref="R10:S10"/>
    <mergeCell ref="R11:S11"/>
    <mergeCell ref="R13:S13"/>
    <mergeCell ref="R14:S14"/>
    <mergeCell ref="R15:S15"/>
    <mergeCell ref="R16:S16"/>
    <mergeCell ref="R25:S25"/>
    <mergeCell ref="R26:S26"/>
    <mergeCell ref="Q34:S34"/>
    <mergeCell ref="R17:S17"/>
    <mergeCell ref="R18:S18"/>
    <mergeCell ref="R19:S19"/>
    <mergeCell ref="R20:S20"/>
    <mergeCell ref="Q22:S22"/>
    <mergeCell ref="R23:S23"/>
    <mergeCell ref="R24:S24"/>
  </mergeCells>
  <printOptions/>
  <pageMargins bottom="0.75" footer="0.0" header="0.0" left="0.25" right="0.25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1.29"/>
    <col customWidth="1" min="2" max="2" width="14.71"/>
    <col customWidth="1" min="3" max="4" width="21.57"/>
    <col customWidth="1" min="5" max="5" width="13.29"/>
    <col customWidth="1" min="6" max="6" width="7.43"/>
    <col customWidth="1" min="7" max="7" width="13.29"/>
    <col customWidth="1" min="8" max="8" width="13.43"/>
    <col customWidth="1" min="9" max="9" width="5.86"/>
    <col customWidth="1" min="10" max="10" width="13.29"/>
    <col customWidth="1" min="11" max="11" width="7.71"/>
    <col customWidth="1" min="12" max="12" width="6.57"/>
    <col customWidth="1" min="13" max="13" width="8.29"/>
    <col customWidth="1" min="14" max="15" width="8.43"/>
    <col customWidth="1" min="16" max="16" width="10.43"/>
    <col customWidth="1" min="17" max="17" width="11.86"/>
    <col customWidth="1" min="18" max="18" width="15.71"/>
    <col customWidth="1" min="19" max="19" width="8.86"/>
    <col customWidth="1" min="20" max="20" width="12.0"/>
    <col customWidth="1" min="21" max="34" width="8.86"/>
  </cols>
  <sheetData>
    <row r="1" ht="40.5" customHeight="1">
      <c r="A1" s="1"/>
      <c r="B1" s="2" t="s">
        <v>311</v>
      </c>
      <c r="C1" s="3"/>
      <c r="D1" s="3"/>
      <c r="E1" s="3"/>
      <c r="F1" s="3"/>
      <c r="G1" s="3"/>
      <c r="H1" s="3"/>
      <c r="I1" s="3"/>
      <c r="J1" s="4"/>
      <c r="K1" s="5" t="s">
        <v>1</v>
      </c>
      <c r="L1" s="3"/>
      <c r="M1" s="4"/>
      <c r="N1" s="6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</row>
    <row r="2" ht="39.0" customHeight="1">
      <c r="A2" s="8" t="s">
        <v>2</v>
      </c>
      <c r="B2" s="11" t="s">
        <v>3</v>
      </c>
      <c r="C2" s="12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3" t="s">
        <v>12</v>
      </c>
      <c r="L2" s="13" t="s">
        <v>13</v>
      </c>
      <c r="M2" s="159" t="s">
        <v>14</v>
      </c>
      <c r="N2" s="14" t="s">
        <v>15</v>
      </c>
      <c r="O2" s="179" t="s">
        <v>312</v>
      </c>
      <c r="P2" s="180" t="s">
        <v>313</v>
      </c>
      <c r="Q2" s="118"/>
      <c r="R2" s="123" t="s">
        <v>17</v>
      </c>
      <c r="S2" s="124" t="s">
        <v>18</v>
      </c>
      <c r="T2" s="53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</row>
    <row r="3" outlineLevel="1">
      <c r="A3" s="106" t="b">
        <v>0</v>
      </c>
      <c r="B3" s="181" t="s">
        <v>146</v>
      </c>
      <c r="C3" s="182" t="s">
        <v>20</v>
      </c>
      <c r="D3" s="182" t="s">
        <v>102</v>
      </c>
      <c r="E3" s="182">
        <v>13.0</v>
      </c>
      <c r="F3" s="181">
        <v>2.0</v>
      </c>
      <c r="G3" s="181" t="s">
        <v>30</v>
      </c>
      <c r="H3" s="181" t="s">
        <v>31</v>
      </c>
      <c r="I3" s="181" t="s">
        <v>31</v>
      </c>
      <c r="J3" s="183" t="s">
        <v>314</v>
      </c>
      <c r="K3" s="106" t="b">
        <v>1</v>
      </c>
      <c r="L3" s="106" t="b">
        <v>1</v>
      </c>
      <c r="M3" s="106" t="b">
        <v>1</v>
      </c>
      <c r="N3" s="106" t="b">
        <v>1</v>
      </c>
      <c r="O3" s="106" t="b">
        <v>1</v>
      </c>
      <c r="P3" s="184"/>
      <c r="Q3" s="185" t="s">
        <v>315</v>
      </c>
      <c r="R3" s="181" t="s">
        <v>27</v>
      </c>
      <c r="S3" s="186" t="s">
        <v>28</v>
      </c>
      <c r="T3" s="33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</row>
    <row r="4" outlineLevel="1">
      <c r="A4" s="106" t="b">
        <v>1</v>
      </c>
      <c r="B4" s="140" t="s">
        <v>316</v>
      </c>
      <c r="C4" s="86" t="s">
        <v>20</v>
      </c>
      <c r="D4" s="86" t="s">
        <v>102</v>
      </c>
      <c r="E4" s="86">
        <v>11.5</v>
      </c>
      <c r="F4" s="140">
        <v>2.0</v>
      </c>
      <c r="G4" s="140" t="s">
        <v>30</v>
      </c>
      <c r="H4" s="140" t="s">
        <v>31</v>
      </c>
      <c r="I4" s="140" t="s">
        <v>31</v>
      </c>
      <c r="J4" s="187" t="s">
        <v>317</v>
      </c>
      <c r="K4" s="106" t="b">
        <v>1</v>
      </c>
      <c r="L4" s="106" t="b">
        <v>1</v>
      </c>
      <c r="M4" s="106" t="b">
        <v>1</v>
      </c>
      <c r="N4" s="106" t="b">
        <v>1</v>
      </c>
      <c r="O4" s="106" t="b">
        <v>1</v>
      </c>
      <c r="P4" s="188"/>
      <c r="Q4" s="130" t="s">
        <v>318</v>
      </c>
      <c r="R4" s="34" t="s">
        <v>128</v>
      </c>
      <c r="S4" s="129" t="s">
        <v>141</v>
      </c>
      <c r="T4" s="39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</row>
    <row r="5" outlineLevel="1">
      <c r="A5" s="106" t="b">
        <v>0</v>
      </c>
      <c r="B5" s="140" t="s">
        <v>319</v>
      </c>
      <c r="C5" s="86" t="s">
        <v>26</v>
      </c>
      <c r="D5" s="140" t="s">
        <v>21</v>
      </c>
      <c r="E5" s="140">
        <v>6.0</v>
      </c>
      <c r="F5" s="140">
        <v>2.0</v>
      </c>
      <c r="G5" s="140" t="s">
        <v>320</v>
      </c>
      <c r="H5" s="140" t="s">
        <v>31</v>
      </c>
      <c r="I5" s="140" t="s">
        <v>23</v>
      </c>
      <c r="J5" s="145" t="s">
        <v>321</v>
      </c>
      <c r="K5" s="106" t="b">
        <v>0</v>
      </c>
      <c r="L5" s="106" t="b">
        <v>0</v>
      </c>
      <c r="M5" s="106" t="b">
        <v>0</v>
      </c>
      <c r="N5" s="106" t="b">
        <v>0</v>
      </c>
      <c r="O5" s="106" t="b">
        <v>0</v>
      </c>
      <c r="P5" s="188"/>
      <c r="Q5" s="185" t="s">
        <v>322</v>
      </c>
      <c r="R5" s="140" t="s">
        <v>34</v>
      </c>
      <c r="S5" s="189" t="s">
        <v>35</v>
      </c>
      <c r="T5" s="39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</row>
    <row r="6" outlineLevel="1">
      <c r="A6" s="19" t="b">
        <v>0</v>
      </c>
      <c r="B6" s="34" t="s">
        <v>323</v>
      </c>
      <c r="C6" s="35" t="s">
        <v>20</v>
      </c>
      <c r="D6" s="34" t="s">
        <v>21</v>
      </c>
      <c r="E6" s="34">
        <v>4.0</v>
      </c>
      <c r="F6" s="34">
        <v>2.0</v>
      </c>
      <c r="G6" s="34" t="s">
        <v>37</v>
      </c>
      <c r="H6" s="34" t="s">
        <v>23</v>
      </c>
      <c r="I6" s="34" t="s">
        <v>31</v>
      </c>
      <c r="J6" s="149">
        <v>45791.0</v>
      </c>
      <c r="K6" s="19" t="b">
        <v>1</v>
      </c>
      <c r="L6" s="19" t="b">
        <v>1</v>
      </c>
      <c r="M6" s="19" t="b">
        <v>1</v>
      </c>
      <c r="N6" s="19" t="b">
        <v>1</v>
      </c>
      <c r="O6" s="19" t="b">
        <v>1</v>
      </c>
      <c r="P6" s="155"/>
      <c r="Q6" s="118"/>
      <c r="R6" s="34" t="s">
        <v>39</v>
      </c>
      <c r="S6" s="129" t="s">
        <v>40</v>
      </c>
      <c r="T6" s="39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</row>
    <row r="7" outlineLevel="1">
      <c r="A7" s="19" t="b">
        <v>0</v>
      </c>
      <c r="B7" s="34" t="s">
        <v>324</v>
      </c>
      <c r="C7" s="35" t="s">
        <v>20</v>
      </c>
      <c r="D7" s="34" t="s">
        <v>325</v>
      </c>
      <c r="E7" s="34">
        <v>2.5</v>
      </c>
      <c r="F7" s="34">
        <v>2.0</v>
      </c>
      <c r="G7" s="34" t="s">
        <v>326</v>
      </c>
      <c r="H7" s="34" t="s">
        <v>31</v>
      </c>
      <c r="I7" s="34" t="s">
        <v>31</v>
      </c>
      <c r="J7" s="149">
        <v>45783.0</v>
      </c>
      <c r="K7" s="19" t="b">
        <v>1</v>
      </c>
      <c r="L7" s="19" t="b">
        <v>1</v>
      </c>
      <c r="M7" s="19" t="b">
        <v>1</v>
      </c>
      <c r="N7" s="19" t="b">
        <v>1</v>
      </c>
      <c r="O7" s="19" t="b">
        <v>1</v>
      </c>
      <c r="P7" s="155"/>
      <c r="Q7" s="118"/>
      <c r="R7" s="34" t="s">
        <v>42</v>
      </c>
      <c r="S7" s="129" t="s">
        <v>43</v>
      </c>
      <c r="T7" s="39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</row>
    <row r="8" outlineLevel="1">
      <c r="A8" s="19" t="b">
        <v>0</v>
      </c>
      <c r="B8" s="35" t="s">
        <v>327</v>
      </c>
      <c r="C8" s="35" t="s">
        <v>20</v>
      </c>
      <c r="D8" s="34" t="s">
        <v>21</v>
      </c>
      <c r="E8" s="35">
        <v>2.0</v>
      </c>
      <c r="F8" s="35">
        <v>2.0</v>
      </c>
      <c r="G8" s="35" t="s">
        <v>70</v>
      </c>
      <c r="H8" s="35" t="s">
        <v>23</v>
      </c>
      <c r="I8" s="35" t="s">
        <v>23</v>
      </c>
      <c r="J8" s="149">
        <v>45779.0</v>
      </c>
      <c r="K8" s="19" t="b">
        <v>1</v>
      </c>
      <c r="L8" s="19" t="b">
        <v>1</v>
      </c>
      <c r="M8" s="19" t="b">
        <v>1</v>
      </c>
      <c r="N8" s="19" t="b">
        <v>1</v>
      </c>
      <c r="O8" s="19" t="b">
        <v>1</v>
      </c>
      <c r="P8" s="155"/>
      <c r="Q8" s="130" t="s">
        <v>328</v>
      </c>
      <c r="R8" s="50"/>
      <c r="S8" s="50"/>
      <c r="T8" s="50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</row>
    <row r="9" outlineLevel="1">
      <c r="A9" s="19" t="b">
        <v>1</v>
      </c>
      <c r="B9" s="34" t="s">
        <v>300</v>
      </c>
      <c r="C9" s="35" t="s">
        <v>20</v>
      </c>
      <c r="D9" s="34" t="s">
        <v>21</v>
      </c>
      <c r="E9" s="34">
        <v>3.0</v>
      </c>
      <c r="F9" s="34">
        <v>2.0</v>
      </c>
      <c r="G9" s="34" t="s">
        <v>58</v>
      </c>
      <c r="H9" s="34" t="s">
        <v>23</v>
      </c>
      <c r="I9" s="34" t="s">
        <v>31</v>
      </c>
      <c r="J9" s="40" t="s">
        <v>301</v>
      </c>
      <c r="K9" s="19" t="b">
        <v>1</v>
      </c>
      <c r="L9" s="19" t="b">
        <v>1</v>
      </c>
      <c r="M9" s="19" t="b">
        <v>1</v>
      </c>
      <c r="N9" s="19" t="b">
        <v>1</v>
      </c>
      <c r="O9" s="19" t="b">
        <v>1</v>
      </c>
      <c r="P9" s="155"/>
      <c r="Q9" s="118"/>
      <c r="R9" s="50" t="s">
        <v>47</v>
      </c>
      <c r="S9" s="51" t="s">
        <v>48</v>
      </c>
      <c r="T9" s="39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</row>
    <row r="10" outlineLevel="1">
      <c r="A10" s="19" t="b">
        <v>0</v>
      </c>
      <c r="B10" s="34" t="s">
        <v>329</v>
      </c>
      <c r="C10" s="35" t="s">
        <v>20</v>
      </c>
      <c r="D10" s="34" t="s">
        <v>21</v>
      </c>
      <c r="E10" s="34">
        <v>2.0</v>
      </c>
      <c r="F10" s="34">
        <v>1.0</v>
      </c>
      <c r="G10" s="34" t="s">
        <v>34</v>
      </c>
      <c r="H10" s="34" t="s">
        <v>23</v>
      </c>
      <c r="I10" s="34" t="s">
        <v>23</v>
      </c>
      <c r="J10" s="40" t="s">
        <v>229</v>
      </c>
      <c r="K10" s="19" t="b">
        <v>1</v>
      </c>
      <c r="L10" s="19" t="b">
        <v>0</v>
      </c>
      <c r="M10" s="19" t="b">
        <v>1</v>
      </c>
      <c r="N10" s="19" t="b">
        <v>1</v>
      </c>
      <c r="O10" s="19" t="b">
        <v>0</v>
      </c>
      <c r="P10" s="155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</row>
    <row r="11" outlineLevel="1">
      <c r="A11" s="19" t="b">
        <v>0</v>
      </c>
      <c r="B11" s="34" t="s">
        <v>330</v>
      </c>
      <c r="C11" s="35" t="s">
        <v>20</v>
      </c>
      <c r="D11" s="34" t="s">
        <v>21</v>
      </c>
      <c r="E11" s="35">
        <v>6.0</v>
      </c>
      <c r="F11" s="34">
        <v>2.0</v>
      </c>
      <c r="G11" s="34" t="s">
        <v>58</v>
      </c>
      <c r="H11" s="34" t="s">
        <v>31</v>
      </c>
      <c r="I11" s="34" t="s">
        <v>31</v>
      </c>
      <c r="J11" s="149">
        <v>45778.0</v>
      </c>
      <c r="K11" s="19" t="b">
        <v>1</v>
      </c>
      <c r="L11" s="19" t="b">
        <v>0</v>
      </c>
      <c r="M11" s="19" t="b">
        <v>0</v>
      </c>
      <c r="N11" s="19" t="b">
        <v>0</v>
      </c>
      <c r="O11" s="19" t="b">
        <v>0</v>
      </c>
      <c r="P11" s="155"/>
      <c r="Q11" s="118"/>
      <c r="R11" s="16" t="s">
        <v>154</v>
      </c>
      <c r="S11" s="17" t="s">
        <v>52</v>
      </c>
      <c r="T11" s="53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</row>
    <row r="12" ht="15.0" customHeight="1" outlineLevel="1">
      <c r="A12" s="19" t="b">
        <v>1</v>
      </c>
      <c r="B12" s="34" t="s">
        <v>331</v>
      </c>
      <c r="C12" s="35" t="s">
        <v>20</v>
      </c>
      <c r="D12" s="35" t="s">
        <v>55</v>
      </c>
      <c r="E12" s="35">
        <v>36.0</v>
      </c>
      <c r="F12" s="34">
        <v>3.0</v>
      </c>
      <c r="G12" s="34" t="s">
        <v>113</v>
      </c>
      <c r="H12" s="34" t="s">
        <v>31</v>
      </c>
      <c r="I12" s="34" t="s">
        <v>31</v>
      </c>
      <c r="J12" s="190" t="s">
        <v>332</v>
      </c>
      <c r="K12" s="19" t="b">
        <v>1</v>
      </c>
      <c r="L12" s="19" t="b">
        <v>1</v>
      </c>
      <c r="M12" s="19" t="b">
        <v>1</v>
      </c>
      <c r="N12" s="19" t="b">
        <v>1</v>
      </c>
      <c r="O12" s="19" t="b">
        <v>1</v>
      </c>
      <c r="P12" s="155"/>
      <c r="Q12" s="118"/>
      <c r="R12" s="84"/>
      <c r="S12" s="191"/>
      <c r="T12" s="191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</row>
    <row r="13" ht="15.0" customHeight="1" outlineLevel="1">
      <c r="A13" s="19" t="b">
        <v>0</v>
      </c>
      <c r="B13" s="34"/>
      <c r="C13" s="35"/>
      <c r="D13" s="34"/>
      <c r="E13" s="34"/>
      <c r="F13" s="34"/>
      <c r="G13" s="34"/>
      <c r="H13" s="34"/>
      <c r="I13" s="34"/>
      <c r="J13" s="149"/>
      <c r="K13" s="19" t="b">
        <v>0</v>
      </c>
      <c r="L13" s="19" t="b">
        <v>0</v>
      </c>
      <c r="M13" s="19" t="b">
        <v>0</v>
      </c>
      <c r="N13" s="19" t="b">
        <v>0</v>
      </c>
      <c r="O13" s="19" t="b">
        <v>0</v>
      </c>
      <c r="P13" s="155"/>
      <c r="Q13" s="118"/>
      <c r="R13" s="84"/>
      <c r="S13" s="191"/>
      <c r="T13" s="191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</row>
    <row r="14" ht="15.0" customHeight="1" outlineLevel="1">
      <c r="A14" s="19" t="b">
        <v>0</v>
      </c>
      <c r="B14" s="34" t="s">
        <v>307</v>
      </c>
      <c r="C14" s="35" t="s">
        <v>20</v>
      </c>
      <c r="D14" s="34" t="s">
        <v>21</v>
      </c>
      <c r="E14" s="34">
        <v>6.0</v>
      </c>
      <c r="F14" s="34">
        <v>2.0</v>
      </c>
      <c r="G14" s="34" t="s">
        <v>113</v>
      </c>
      <c r="H14" s="34" t="s">
        <v>23</v>
      </c>
      <c r="I14" s="34" t="s">
        <v>31</v>
      </c>
      <c r="J14" s="149">
        <v>45779.0</v>
      </c>
      <c r="K14" s="19" t="b">
        <v>1</v>
      </c>
      <c r="L14" s="19" t="b">
        <v>1</v>
      </c>
      <c r="M14" s="19" t="b">
        <v>1</v>
      </c>
      <c r="N14" s="19" t="b">
        <v>1</v>
      </c>
      <c r="O14" s="19" t="b">
        <v>1</v>
      </c>
      <c r="P14" s="155"/>
      <c r="Q14" s="118"/>
      <c r="R14" s="60" t="s">
        <v>57</v>
      </c>
      <c r="S14" s="61" t="s">
        <v>58</v>
      </c>
      <c r="T14" s="33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</row>
    <row r="15" ht="30.75" customHeight="1" outlineLevel="1">
      <c r="A15" s="19" t="b">
        <v>0</v>
      </c>
      <c r="B15" s="34" t="s">
        <v>333</v>
      </c>
      <c r="C15" s="35" t="s">
        <v>20</v>
      </c>
      <c r="D15" s="34" t="s">
        <v>21</v>
      </c>
      <c r="E15" s="34">
        <v>2.0</v>
      </c>
      <c r="F15" s="34">
        <v>1.0</v>
      </c>
      <c r="G15" s="34" t="s">
        <v>22</v>
      </c>
      <c r="H15" s="34" t="s">
        <v>23</v>
      </c>
      <c r="I15" s="34" t="s">
        <v>23</v>
      </c>
      <c r="J15" s="149">
        <v>45744.0</v>
      </c>
      <c r="K15" s="19" t="b">
        <v>1</v>
      </c>
      <c r="L15" s="19" t="b">
        <v>1</v>
      </c>
      <c r="M15" s="19" t="b">
        <v>1</v>
      </c>
      <c r="N15" s="19" t="b">
        <v>1</v>
      </c>
      <c r="O15" s="19" t="b">
        <v>1</v>
      </c>
      <c r="P15" s="155"/>
      <c r="Q15" s="118"/>
      <c r="R15" s="135" t="s">
        <v>334</v>
      </c>
      <c r="S15" s="75" t="s">
        <v>335</v>
      </c>
      <c r="T15" s="39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</row>
    <row r="16" ht="30.75" customHeight="1" outlineLevel="1">
      <c r="A16" s="19" t="b">
        <v>0</v>
      </c>
      <c r="B16" s="34" t="s">
        <v>336</v>
      </c>
      <c r="C16" s="35" t="s">
        <v>20</v>
      </c>
      <c r="D16" s="34" t="s">
        <v>21</v>
      </c>
      <c r="E16" s="35">
        <v>12.0</v>
      </c>
      <c r="F16" s="34">
        <v>2.0</v>
      </c>
      <c r="G16" s="34" t="s">
        <v>45</v>
      </c>
      <c r="H16" s="34" t="s">
        <v>31</v>
      </c>
      <c r="I16" s="34" t="s">
        <v>31</v>
      </c>
      <c r="J16" s="40" t="s">
        <v>337</v>
      </c>
      <c r="K16" s="19" t="b">
        <v>1</v>
      </c>
      <c r="L16" s="19" t="b">
        <v>1</v>
      </c>
      <c r="M16" s="19" t="b">
        <v>1</v>
      </c>
      <c r="N16" s="19" t="b">
        <v>1</v>
      </c>
      <c r="O16" s="19" t="b">
        <v>1</v>
      </c>
      <c r="P16" s="155"/>
      <c r="Q16" s="118"/>
      <c r="R16" s="65" t="s">
        <v>62</v>
      </c>
      <c r="S16" s="66" t="s">
        <v>58</v>
      </c>
      <c r="T16" s="33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</row>
    <row r="17" outlineLevel="1">
      <c r="A17" s="19" t="b">
        <v>0</v>
      </c>
      <c r="B17" s="34" t="s">
        <v>338</v>
      </c>
      <c r="C17" s="35" t="s">
        <v>20</v>
      </c>
      <c r="D17" s="34" t="s">
        <v>21</v>
      </c>
      <c r="E17" s="34">
        <v>8.0</v>
      </c>
      <c r="F17" s="34">
        <v>2.0</v>
      </c>
      <c r="G17" s="34" t="s">
        <v>58</v>
      </c>
      <c r="H17" s="34" t="s">
        <v>31</v>
      </c>
      <c r="I17" s="34" t="s">
        <v>31</v>
      </c>
      <c r="J17" s="40" t="s">
        <v>339</v>
      </c>
      <c r="K17" s="19" t="b">
        <v>1</v>
      </c>
      <c r="L17" s="19" t="b">
        <v>1</v>
      </c>
      <c r="M17" s="19" t="b">
        <v>1</v>
      </c>
      <c r="N17" s="19" t="b">
        <v>1</v>
      </c>
      <c r="O17" s="19" t="b">
        <v>1</v>
      </c>
      <c r="P17" s="155"/>
      <c r="Q17" s="118"/>
      <c r="R17" s="65" t="s">
        <v>66</v>
      </c>
      <c r="S17" s="69" t="s">
        <v>67</v>
      </c>
      <c r="T17" s="39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</row>
    <row r="18" ht="34.5" customHeight="1" outlineLevel="1">
      <c r="A18" s="19" t="b">
        <v>1</v>
      </c>
      <c r="B18" s="34" t="s">
        <v>340</v>
      </c>
      <c r="C18" s="35" t="s">
        <v>20</v>
      </c>
      <c r="D18" s="35" t="s">
        <v>341</v>
      </c>
      <c r="E18" s="34">
        <v>20.0</v>
      </c>
      <c r="F18" s="34">
        <v>2.0</v>
      </c>
      <c r="G18" s="34" t="s">
        <v>45</v>
      </c>
      <c r="H18" s="34" t="s">
        <v>31</v>
      </c>
      <c r="I18" s="34" t="s">
        <v>31</v>
      </c>
      <c r="J18" s="40" t="s">
        <v>342</v>
      </c>
      <c r="K18" s="19" t="b">
        <v>1</v>
      </c>
      <c r="L18" s="19" t="b">
        <v>1</v>
      </c>
      <c r="M18" s="19" t="b">
        <v>1</v>
      </c>
      <c r="N18" s="19" t="b">
        <v>1</v>
      </c>
      <c r="O18" s="19" t="b">
        <v>0</v>
      </c>
      <c r="P18" s="155"/>
      <c r="Q18" s="118"/>
      <c r="R18" s="192" t="s">
        <v>343</v>
      </c>
      <c r="S18" s="193" t="s">
        <v>58</v>
      </c>
      <c r="T18" s="39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</row>
    <row r="19" outlineLevel="1">
      <c r="A19" s="19" t="b">
        <v>1</v>
      </c>
      <c r="B19" s="34" t="s">
        <v>344</v>
      </c>
      <c r="C19" s="35" t="s">
        <v>20</v>
      </c>
      <c r="D19" s="34" t="s">
        <v>21</v>
      </c>
      <c r="E19" s="34">
        <v>6.0</v>
      </c>
      <c r="F19" s="34">
        <v>2.0</v>
      </c>
      <c r="G19" s="34" t="s">
        <v>45</v>
      </c>
      <c r="H19" s="34" t="s">
        <v>31</v>
      </c>
      <c r="I19" s="34" t="s">
        <v>23</v>
      </c>
      <c r="J19" s="149">
        <v>45785.0</v>
      </c>
      <c r="K19" s="19" t="b">
        <v>1</v>
      </c>
      <c r="L19" s="19" t="b">
        <v>1</v>
      </c>
      <c r="M19" s="19" t="b">
        <v>1</v>
      </c>
      <c r="N19" s="19" t="b">
        <v>1</v>
      </c>
      <c r="O19" s="19" t="b">
        <v>1</v>
      </c>
      <c r="P19" s="155"/>
      <c r="Q19" s="118"/>
      <c r="R19" s="65" t="s">
        <v>345</v>
      </c>
      <c r="S19" s="193" t="s">
        <v>346</v>
      </c>
      <c r="T19" s="39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</row>
    <row r="20" outlineLevel="1">
      <c r="A20" s="19" t="b">
        <v>1</v>
      </c>
      <c r="B20" s="34" t="s">
        <v>347</v>
      </c>
      <c r="C20" s="35" t="s">
        <v>20</v>
      </c>
      <c r="D20" s="35" t="s">
        <v>348</v>
      </c>
      <c r="E20" s="35">
        <v>5.0</v>
      </c>
      <c r="F20" s="34">
        <v>2.0</v>
      </c>
      <c r="G20" s="34" t="s">
        <v>349</v>
      </c>
      <c r="H20" s="34" t="s">
        <v>31</v>
      </c>
      <c r="I20" s="34" t="s">
        <v>23</v>
      </c>
      <c r="J20" s="149">
        <v>45782.0</v>
      </c>
      <c r="K20" s="19" t="b">
        <v>0</v>
      </c>
      <c r="L20" s="19" t="b">
        <v>0</v>
      </c>
      <c r="M20" s="19" t="b">
        <v>0</v>
      </c>
      <c r="N20" s="19" t="b">
        <v>0</v>
      </c>
      <c r="O20" s="19" t="b">
        <v>0</v>
      </c>
      <c r="P20" s="155"/>
      <c r="Q20" s="118"/>
      <c r="R20" s="65" t="s">
        <v>71</v>
      </c>
      <c r="S20" s="72" t="s">
        <v>58</v>
      </c>
      <c r="T20" s="39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</row>
    <row r="21" outlineLevel="1">
      <c r="A21" s="19" t="b">
        <v>1</v>
      </c>
      <c r="B21" s="34" t="s">
        <v>350</v>
      </c>
      <c r="C21" s="35" t="s">
        <v>20</v>
      </c>
      <c r="D21" s="34" t="s">
        <v>351</v>
      </c>
      <c r="E21" s="34">
        <v>1.5</v>
      </c>
      <c r="F21" s="34">
        <v>1.0</v>
      </c>
      <c r="G21" s="35" t="s">
        <v>326</v>
      </c>
      <c r="H21" s="34" t="s">
        <v>23</v>
      </c>
      <c r="I21" s="34" t="s">
        <v>23</v>
      </c>
      <c r="J21" s="149">
        <v>45782.0</v>
      </c>
      <c r="K21" s="19" t="b">
        <v>0</v>
      </c>
      <c r="L21" s="19" t="b">
        <v>0</v>
      </c>
      <c r="M21" s="19" t="b">
        <v>0</v>
      </c>
      <c r="N21" s="19" t="b">
        <v>0</v>
      </c>
      <c r="O21" s="19" t="b">
        <v>0</v>
      </c>
      <c r="P21" s="155"/>
      <c r="Q21" s="118"/>
      <c r="R21" s="135"/>
      <c r="S21" s="137"/>
      <c r="T21" s="39"/>
      <c r="V21" s="80"/>
      <c r="W21" s="73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</row>
    <row r="22" ht="27.0" customHeight="1" outlineLevel="1">
      <c r="A22" s="19" t="b">
        <v>1</v>
      </c>
      <c r="B22" s="34" t="s">
        <v>352</v>
      </c>
      <c r="C22" s="35" t="s">
        <v>77</v>
      </c>
      <c r="D22" s="34" t="s">
        <v>21</v>
      </c>
      <c r="E22" s="35">
        <v>6.0</v>
      </c>
      <c r="F22" s="35">
        <v>1.0</v>
      </c>
      <c r="G22" s="34" t="s">
        <v>22</v>
      </c>
      <c r="H22" s="34" t="s">
        <v>23</v>
      </c>
      <c r="I22" s="34" t="s">
        <v>23</v>
      </c>
      <c r="J22" s="149">
        <v>45866.0</v>
      </c>
      <c r="K22" s="19" t="b">
        <v>1</v>
      </c>
      <c r="L22" s="19" t="b">
        <v>1</v>
      </c>
      <c r="M22" s="19" t="b">
        <v>1</v>
      </c>
      <c r="N22" s="19" t="b">
        <v>1</v>
      </c>
      <c r="O22" s="19" t="b">
        <v>1</v>
      </c>
      <c r="P22" s="155"/>
      <c r="Q22" s="118"/>
      <c r="R22" s="194"/>
      <c r="S22" s="195"/>
      <c r="U22" s="84"/>
      <c r="V22" s="85"/>
      <c r="W22" s="73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</row>
    <row r="23" ht="30.75" customHeight="1" outlineLevel="1">
      <c r="A23" s="106" t="b">
        <v>0</v>
      </c>
      <c r="B23" s="140" t="s">
        <v>353</v>
      </c>
      <c r="C23" s="86" t="s">
        <v>20</v>
      </c>
      <c r="D23" s="140" t="s">
        <v>21</v>
      </c>
      <c r="E23" s="140">
        <v>6.0</v>
      </c>
      <c r="F23" s="140">
        <v>2.0</v>
      </c>
      <c r="G23" s="140" t="s">
        <v>45</v>
      </c>
      <c r="H23" s="140" t="s">
        <v>23</v>
      </c>
      <c r="I23" s="140" t="s">
        <v>23</v>
      </c>
      <c r="J23" s="145" t="s">
        <v>46</v>
      </c>
      <c r="K23" s="106" t="b">
        <v>0</v>
      </c>
      <c r="L23" s="106" t="b">
        <v>0</v>
      </c>
      <c r="M23" s="106" t="b">
        <v>0</v>
      </c>
      <c r="N23" s="106" t="b">
        <v>0</v>
      </c>
      <c r="O23" s="106" t="b">
        <v>0</v>
      </c>
      <c r="P23" s="188"/>
      <c r="Q23" s="175"/>
      <c r="R23" s="196" t="s">
        <v>79</v>
      </c>
      <c r="S23" s="197"/>
      <c r="T23" s="198"/>
      <c r="U23" s="108"/>
      <c r="V23" s="199" t="s">
        <v>80</v>
      </c>
      <c r="W23" s="200"/>
      <c r="X23" s="175"/>
      <c r="Y23" s="175"/>
      <c r="Z23" s="175"/>
      <c r="AA23" s="175"/>
      <c r="AB23" s="175"/>
      <c r="AC23" s="175"/>
      <c r="AD23" s="175"/>
      <c r="AE23" s="175"/>
      <c r="AF23" s="175"/>
      <c r="AG23" s="175"/>
      <c r="AH23" s="175"/>
    </row>
    <row r="24" ht="30.0" customHeight="1" outlineLevel="1">
      <c r="A24" s="19" t="b">
        <v>0</v>
      </c>
      <c r="B24" s="35" t="s">
        <v>354</v>
      </c>
      <c r="C24" s="35" t="s">
        <v>77</v>
      </c>
      <c r="D24" s="35" t="s">
        <v>21</v>
      </c>
      <c r="E24" s="35">
        <v>16.0</v>
      </c>
      <c r="F24" s="35">
        <v>2.0</v>
      </c>
      <c r="G24" s="35"/>
      <c r="H24" s="35" t="s">
        <v>31</v>
      </c>
      <c r="I24" s="35" t="s">
        <v>31</v>
      </c>
      <c r="J24" s="40" t="s">
        <v>355</v>
      </c>
      <c r="K24" s="19" t="b">
        <v>1</v>
      </c>
      <c r="L24" s="19" t="b">
        <v>1</v>
      </c>
      <c r="M24" s="19" t="b">
        <v>1</v>
      </c>
      <c r="N24" s="19" t="b">
        <v>1</v>
      </c>
      <c r="O24" s="19" t="b">
        <v>1</v>
      </c>
      <c r="P24" s="155"/>
      <c r="Q24" s="118"/>
      <c r="R24" s="81" t="s">
        <v>83</v>
      </c>
      <c r="S24" s="82" t="s">
        <v>84</v>
      </c>
      <c r="T24" s="83"/>
      <c r="U24" s="84" t="s">
        <v>85</v>
      </c>
      <c r="V24" s="85" t="s">
        <v>86</v>
      </c>
      <c r="W24" s="73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</row>
    <row r="25" ht="30.0" customHeight="1" outlineLevel="1">
      <c r="A25" s="19" t="b">
        <v>0</v>
      </c>
      <c r="B25" s="140" t="s">
        <v>356</v>
      </c>
      <c r="C25" s="86" t="s">
        <v>20</v>
      </c>
      <c r="D25" s="140" t="s">
        <v>21</v>
      </c>
      <c r="E25" s="140">
        <v>2.0</v>
      </c>
      <c r="F25" s="140">
        <v>1.0</v>
      </c>
      <c r="G25" s="140" t="s">
        <v>357</v>
      </c>
      <c r="H25" s="140" t="s">
        <v>23</v>
      </c>
      <c r="I25" s="140" t="s">
        <v>23</v>
      </c>
      <c r="J25" s="145" t="s">
        <v>46</v>
      </c>
      <c r="K25" s="19" t="b">
        <v>1</v>
      </c>
      <c r="L25" s="19" t="b">
        <v>1</v>
      </c>
      <c r="M25" s="19" t="b">
        <v>1</v>
      </c>
      <c r="N25" s="19" t="b">
        <v>1</v>
      </c>
      <c r="O25" s="19" t="b">
        <v>1</v>
      </c>
      <c r="P25" s="155"/>
      <c r="Q25" s="118"/>
      <c r="R25" s="89" t="s">
        <v>90</v>
      </c>
      <c r="S25" s="82" t="s">
        <v>91</v>
      </c>
      <c r="T25" s="83"/>
      <c r="U25" s="84" t="s">
        <v>85</v>
      </c>
      <c r="V25" s="85" t="s">
        <v>86</v>
      </c>
      <c r="W25" s="73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</row>
    <row r="26" ht="15.75" customHeight="1" outlineLevel="1">
      <c r="A26" s="19" t="b">
        <v>0</v>
      </c>
      <c r="B26" s="34" t="s">
        <v>358</v>
      </c>
      <c r="C26" s="35" t="s">
        <v>20</v>
      </c>
      <c r="D26" s="34" t="s">
        <v>21</v>
      </c>
      <c r="E26" s="34">
        <v>8.0</v>
      </c>
      <c r="F26" s="34">
        <v>2.0</v>
      </c>
      <c r="G26" s="34" t="s">
        <v>45</v>
      </c>
      <c r="H26" s="34" t="s">
        <v>31</v>
      </c>
      <c r="I26" s="34" t="s">
        <v>31</v>
      </c>
      <c r="J26" s="149">
        <v>45790.0</v>
      </c>
      <c r="K26" s="19" t="b">
        <v>1</v>
      </c>
      <c r="L26" s="19" t="b">
        <v>1</v>
      </c>
      <c r="M26" s="19" t="b">
        <v>1</v>
      </c>
      <c r="N26" s="19" t="b">
        <v>1</v>
      </c>
      <c r="O26" s="19" t="b">
        <v>1</v>
      </c>
      <c r="P26" s="155"/>
      <c r="Q26" s="118"/>
      <c r="R26" s="91" t="s">
        <v>92</v>
      </c>
      <c r="S26" s="82" t="s">
        <v>93</v>
      </c>
      <c r="T26" s="83"/>
      <c r="U26" s="84" t="s">
        <v>85</v>
      </c>
      <c r="V26" s="85" t="s">
        <v>94</v>
      </c>
      <c r="W26" s="73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</row>
    <row r="27" ht="15.75" customHeight="1" outlineLevel="1">
      <c r="A27" s="19" t="b">
        <v>1</v>
      </c>
      <c r="B27" s="34" t="s">
        <v>270</v>
      </c>
      <c r="C27" s="35" t="s">
        <v>77</v>
      </c>
      <c r="D27" s="35" t="s">
        <v>359</v>
      </c>
      <c r="E27" s="35">
        <v>6.0</v>
      </c>
      <c r="F27" s="34">
        <v>2.0</v>
      </c>
      <c r="G27" s="34" t="s">
        <v>226</v>
      </c>
      <c r="H27" s="34" t="s">
        <v>31</v>
      </c>
      <c r="I27" s="34" t="s">
        <v>31</v>
      </c>
      <c r="J27" s="40" t="s">
        <v>360</v>
      </c>
      <c r="K27" s="19" t="b">
        <v>1</v>
      </c>
      <c r="L27" s="19" t="b">
        <v>1</v>
      </c>
      <c r="M27" s="19" t="b">
        <v>1</v>
      </c>
      <c r="N27" s="19" t="b">
        <v>1</v>
      </c>
      <c r="O27" s="19" t="b">
        <v>1</v>
      </c>
      <c r="P27" s="155"/>
      <c r="Q27" s="118"/>
      <c r="R27" s="93" t="s">
        <v>97</v>
      </c>
      <c r="S27" s="94" t="s">
        <v>98</v>
      </c>
      <c r="T27" s="95"/>
      <c r="U27" s="84" t="s">
        <v>85</v>
      </c>
      <c r="V27" s="85" t="s">
        <v>94</v>
      </c>
      <c r="W27" s="73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</row>
    <row r="28" ht="15.75" customHeight="1" outlineLevel="1">
      <c r="A28" s="19" t="b">
        <v>0</v>
      </c>
      <c r="B28" s="34" t="s">
        <v>361</v>
      </c>
      <c r="C28" s="35" t="s">
        <v>20</v>
      </c>
      <c r="D28" s="35" t="s">
        <v>351</v>
      </c>
      <c r="E28" s="34">
        <v>2.0</v>
      </c>
      <c r="F28" s="34">
        <v>1.0</v>
      </c>
      <c r="G28" s="34" t="s">
        <v>226</v>
      </c>
      <c r="H28" s="34" t="s">
        <v>31</v>
      </c>
      <c r="I28" s="34" t="s">
        <v>31</v>
      </c>
      <c r="J28" s="149">
        <v>45783.0</v>
      </c>
      <c r="K28" s="19" t="b">
        <v>0</v>
      </c>
      <c r="L28" s="19" t="b">
        <v>0</v>
      </c>
      <c r="M28" s="19" t="b">
        <v>0</v>
      </c>
      <c r="N28" s="19" t="b">
        <v>0</v>
      </c>
      <c r="O28" s="19" t="b">
        <v>0</v>
      </c>
      <c r="P28" s="155"/>
      <c r="Q28" s="118"/>
      <c r="R28" s="201" t="s">
        <v>362</v>
      </c>
      <c r="S28" s="103">
        <f>(E3*F3)+(E4*F4)+(E5*F5)+(E6*F6)+(E7*F7)+(E8*F8)+(E9*F9)+(E10*F10)+(E11*F11)+(E14*F14)+(E15*F15)+(E16*F16)+(E17*F17)+(E18*F18)+(E19*F19)+(E20*F20)+(E21*F21)+(E22*F22)+(E23*F23)+(E24*F24)+(E25*F25)+(E26*F26)+(E27*F27)+(E28*F28)+(E29*F29)+(E30*F30)+(E31*F31)+(E32*F32)+(E33*F33)+(E34*F34)+(E35*F35)+(E36*F36)+(E37*F37)+(E38*F38)+(E39*F39)+(E40*F40)+(E41*F41)+(E42*F42)+(E43*F43)+(E44*F44)+(E45*F45)+(E46*F46)+(E47*F47)+(E48*F48)+(E49*F49)+(E50*F50)+(E51*F51)+(E52*F52)+(E53*F53)+(E54*F54)+(E55*F55)+(E56*F56)+(E57*F57)+(E58*F58)+(E59*F59)+(E60*F60)+(E61*F61)+(E62*F62)+(E63*F63)+(E64*F64)+(E65*F65)+(E66*F66)+(E67*F67)+(E68*F68)+(E69*F69)+(E70*F70)+(E71*F71)+(E72*F72)+(E73*F73)+(E74*F74)+(E75*F75)+(E76*F76)+(E77*F77)+(E78*F78)+(E79*F79)+(E80*F80)+(E81*F81)+(E82*F82)+(E83*F83)+(E84*F84)+(E85*F85)+(E86*F86)+(E87*F87)+(E88*F88)+(E89*F89)+(E90*F90)+(E91*F91)+(E92*F92)+(E93*F93)+(E94*F94)+(E95*F95)+(E96*F96)+(E97*F97)+(E98*F98)+(E99*F99)+(E100*F100)+(E101*F101)</f>
        <v>502</v>
      </c>
      <c r="T28" s="118"/>
      <c r="U28" s="118"/>
      <c r="V28" s="118"/>
      <c r="W28" s="118"/>
      <c r="X28" s="118"/>
      <c r="AG28" s="118"/>
      <c r="AH28" s="118"/>
    </row>
    <row r="29" ht="15.75" customHeight="1" outlineLevel="1">
      <c r="A29" s="19" t="b">
        <v>0</v>
      </c>
      <c r="B29" s="34" t="s">
        <v>363</v>
      </c>
      <c r="C29" s="35" t="s">
        <v>20</v>
      </c>
      <c r="D29" s="34" t="s">
        <v>21</v>
      </c>
      <c r="E29" s="34">
        <v>8.0</v>
      </c>
      <c r="F29" s="34">
        <v>2.0</v>
      </c>
      <c r="G29" s="34" t="s">
        <v>45</v>
      </c>
      <c r="H29" s="34" t="s">
        <v>31</v>
      </c>
      <c r="I29" s="34" t="s">
        <v>31</v>
      </c>
      <c r="J29" s="149">
        <v>45784.0</v>
      </c>
      <c r="K29" s="19" t="b">
        <v>1</v>
      </c>
      <c r="L29" s="19" t="b">
        <v>1</v>
      </c>
      <c r="M29" s="19" t="b">
        <v>1</v>
      </c>
      <c r="N29" s="19" t="b">
        <v>1</v>
      </c>
      <c r="O29" s="19" t="b">
        <v>1</v>
      </c>
      <c r="P29" s="155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</row>
    <row r="30" ht="15.75" customHeight="1" outlineLevel="1">
      <c r="A30" s="19" t="b">
        <v>0</v>
      </c>
      <c r="B30" s="140" t="s">
        <v>364</v>
      </c>
      <c r="C30" s="86" t="s">
        <v>20</v>
      </c>
      <c r="D30" s="140" t="s">
        <v>21</v>
      </c>
      <c r="E30" s="86">
        <v>16.0</v>
      </c>
      <c r="F30" s="140">
        <v>2.0</v>
      </c>
      <c r="G30" s="140" t="s">
        <v>45</v>
      </c>
      <c r="H30" s="140" t="s">
        <v>31</v>
      </c>
      <c r="I30" s="140" t="s">
        <v>31</v>
      </c>
      <c r="J30" s="48" t="s">
        <v>46</v>
      </c>
      <c r="K30" s="19" t="b">
        <v>1</v>
      </c>
      <c r="L30" s="19" t="b">
        <v>1</v>
      </c>
      <c r="M30" s="19" t="b">
        <v>1</v>
      </c>
      <c r="N30" s="19" t="b">
        <v>1</v>
      </c>
      <c r="O30" s="19" t="b">
        <v>1</v>
      </c>
      <c r="P30" s="155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</row>
    <row r="31" ht="29.25" customHeight="1" outlineLevel="1">
      <c r="A31" s="19" t="b">
        <v>0</v>
      </c>
      <c r="B31" s="140" t="s">
        <v>365</v>
      </c>
      <c r="C31" s="86" t="s">
        <v>20</v>
      </c>
      <c r="D31" s="86" t="s">
        <v>21</v>
      </c>
      <c r="E31" s="86">
        <v>8.0</v>
      </c>
      <c r="F31" s="140">
        <v>2.0</v>
      </c>
      <c r="G31" s="86" t="s">
        <v>58</v>
      </c>
      <c r="H31" s="140" t="s">
        <v>23</v>
      </c>
      <c r="I31" s="140" t="s">
        <v>31</v>
      </c>
      <c r="J31" s="48" t="s">
        <v>46</v>
      </c>
      <c r="K31" s="19" t="b">
        <v>1</v>
      </c>
      <c r="L31" s="19" t="b">
        <v>1</v>
      </c>
      <c r="M31" s="19" t="b">
        <v>1</v>
      </c>
      <c r="N31" s="19" t="b">
        <v>1</v>
      </c>
      <c r="O31" s="19" t="b">
        <v>1</v>
      </c>
      <c r="P31" s="155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</row>
    <row r="32" ht="15.75" customHeight="1" outlineLevel="1">
      <c r="A32" s="19" t="b">
        <v>0</v>
      </c>
      <c r="B32" s="27" t="s">
        <v>121</v>
      </c>
      <c r="C32" s="28" t="s">
        <v>122</v>
      </c>
      <c r="D32" s="27" t="s">
        <v>123</v>
      </c>
      <c r="E32" s="27">
        <v>2.0</v>
      </c>
      <c r="F32" s="27">
        <v>1.0</v>
      </c>
      <c r="G32" s="34" t="s">
        <v>58</v>
      </c>
      <c r="H32" s="27" t="s">
        <v>23</v>
      </c>
      <c r="I32" s="27" t="s">
        <v>31</v>
      </c>
      <c r="J32" s="40" t="s">
        <v>366</v>
      </c>
      <c r="K32" s="19" t="b">
        <v>0</v>
      </c>
      <c r="L32" s="19" t="b">
        <v>0</v>
      </c>
      <c r="M32" s="19" t="b">
        <v>0</v>
      </c>
      <c r="N32" s="19" t="b">
        <v>0</v>
      </c>
      <c r="O32" s="19" t="b">
        <v>0</v>
      </c>
      <c r="P32" s="155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</row>
    <row r="33" ht="39.75" customHeight="1" outlineLevel="1">
      <c r="A33" s="19" t="b">
        <v>1</v>
      </c>
      <c r="B33" s="34" t="s">
        <v>367</v>
      </c>
      <c r="C33" s="35" t="s">
        <v>20</v>
      </c>
      <c r="D33" s="34" t="s">
        <v>21</v>
      </c>
      <c r="E33" s="34">
        <v>8.0</v>
      </c>
      <c r="F33" s="34">
        <v>2.0</v>
      </c>
      <c r="G33" s="34" t="s">
        <v>45</v>
      </c>
      <c r="H33" s="34" t="s">
        <v>31</v>
      </c>
      <c r="I33" s="34" t="s">
        <v>31</v>
      </c>
      <c r="J33" s="149">
        <v>46094.0</v>
      </c>
      <c r="K33" s="19" t="b">
        <v>1</v>
      </c>
      <c r="L33" s="19" t="b">
        <v>1</v>
      </c>
      <c r="M33" s="19" t="b">
        <v>1</v>
      </c>
      <c r="N33" s="19" t="b">
        <v>1</v>
      </c>
      <c r="O33" s="19" t="b">
        <v>0</v>
      </c>
      <c r="P33" s="155"/>
      <c r="Q33" s="130" t="s">
        <v>368</v>
      </c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</row>
    <row r="34" ht="15.75" customHeight="1" outlineLevel="1">
      <c r="A34" s="19" t="b">
        <v>0</v>
      </c>
      <c r="B34" s="34" t="s">
        <v>369</v>
      </c>
      <c r="C34" s="35" t="s">
        <v>20</v>
      </c>
      <c r="D34" s="34" t="s">
        <v>21</v>
      </c>
      <c r="E34" s="34">
        <v>2.0</v>
      </c>
      <c r="F34" s="34">
        <v>1.0</v>
      </c>
      <c r="G34" s="34" t="s">
        <v>326</v>
      </c>
      <c r="H34" s="34" t="s">
        <v>23</v>
      </c>
      <c r="I34" s="34" t="s">
        <v>23</v>
      </c>
      <c r="J34" s="40" t="s">
        <v>370</v>
      </c>
      <c r="K34" s="19" t="b">
        <v>1</v>
      </c>
      <c r="L34" s="19" t="b">
        <v>0</v>
      </c>
      <c r="M34" s="19" t="b">
        <v>0</v>
      </c>
      <c r="N34" s="19" t="b">
        <v>1</v>
      </c>
      <c r="O34" s="19" t="b">
        <v>0</v>
      </c>
      <c r="P34" s="155"/>
      <c r="Q34" s="130" t="s">
        <v>42</v>
      </c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</row>
    <row r="35" ht="15.75" customHeight="1" outlineLevel="1">
      <c r="A35" s="19" t="b">
        <v>0</v>
      </c>
      <c r="B35" s="34" t="s">
        <v>371</v>
      </c>
      <c r="C35" s="35" t="s">
        <v>20</v>
      </c>
      <c r="D35" s="34" t="s">
        <v>21</v>
      </c>
      <c r="E35" s="34">
        <v>2.5</v>
      </c>
      <c r="F35" s="34">
        <v>1.0</v>
      </c>
      <c r="G35" s="34" t="s">
        <v>22</v>
      </c>
      <c r="H35" s="34" t="s">
        <v>23</v>
      </c>
      <c r="I35" s="34" t="s">
        <v>23</v>
      </c>
      <c r="J35" s="149">
        <v>45814.0</v>
      </c>
      <c r="K35" s="19" t="b">
        <v>1</v>
      </c>
      <c r="L35" s="19" t="b">
        <v>0</v>
      </c>
      <c r="M35" s="19" t="b">
        <v>1</v>
      </c>
      <c r="N35" s="19" t="b">
        <v>1</v>
      </c>
      <c r="O35" s="19" t="b">
        <v>0</v>
      </c>
      <c r="P35" s="155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</row>
    <row r="36" ht="15.75" customHeight="1" outlineLevel="1">
      <c r="A36" s="19" t="b">
        <v>0</v>
      </c>
      <c r="B36" s="34" t="s">
        <v>372</v>
      </c>
      <c r="C36" s="35" t="s">
        <v>20</v>
      </c>
      <c r="D36" s="34" t="s">
        <v>21</v>
      </c>
      <c r="E36" s="34">
        <v>4.0</v>
      </c>
      <c r="F36" s="34">
        <v>2.0</v>
      </c>
      <c r="G36" s="34" t="s">
        <v>70</v>
      </c>
      <c r="H36" s="34" t="s">
        <v>23</v>
      </c>
      <c r="I36" s="34" t="s">
        <v>23</v>
      </c>
      <c r="J36" s="149">
        <v>45877.0</v>
      </c>
      <c r="K36" s="19" t="b">
        <v>1</v>
      </c>
      <c r="L36" s="19" t="b">
        <v>1</v>
      </c>
      <c r="M36" s="19" t="b">
        <v>1</v>
      </c>
      <c r="N36" s="19" t="b">
        <v>1</v>
      </c>
      <c r="O36" s="19" t="b">
        <v>1</v>
      </c>
      <c r="P36" s="155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</row>
    <row r="37" ht="15.75" customHeight="1" outlineLevel="1">
      <c r="A37" s="19" t="b">
        <v>0</v>
      </c>
      <c r="B37" s="35" t="s">
        <v>211</v>
      </c>
      <c r="C37" s="35" t="s">
        <v>20</v>
      </c>
      <c r="D37" s="35" t="s">
        <v>21</v>
      </c>
      <c r="E37" s="35">
        <v>1.0</v>
      </c>
      <c r="F37" s="35">
        <v>1.0</v>
      </c>
      <c r="G37" s="35" t="s">
        <v>22</v>
      </c>
      <c r="H37" s="35" t="s">
        <v>23</v>
      </c>
      <c r="I37" s="35" t="s">
        <v>23</v>
      </c>
      <c r="J37" s="40" t="s">
        <v>212</v>
      </c>
      <c r="K37" s="19" t="b">
        <v>1</v>
      </c>
      <c r="L37" s="19" t="b">
        <v>0</v>
      </c>
      <c r="M37" s="19" t="b">
        <v>1</v>
      </c>
      <c r="N37" s="19" t="b">
        <v>1</v>
      </c>
      <c r="O37" s="19" t="b">
        <v>0</v>
      </c>
      <c r="P37" s="155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</row>
    <row r="38" ht="15.75" customHeight="1" outlineLevel="1">
      <c r="A38" s="19" t="b">
        <v>0</v>
      </c>
      <c r="B38" s="35" t="s">
        <v>373</v>
      </c>
      <c r="C38" s="35" t="s">
        <v>167</v>
      </c>
      <c r="D38" s="35" t="s">
        <v>21</v>
      </c>
      <c r="E38" s="35">
        <v>6.0</v>
      </c>
      <c r="F38" s="35">
        <v>2.0</v>
      </c>
      <c r="G38" s="35" t="s">
        <v>30</v>
      </c>
      <c r="H38" s="35" t="s">
        <v>23</v>
      </c>
      <c r="I38" s="35" t="s">
        <v>23</v>
      </c>
      <c r="J38" s="149">
        <v>45772.0</v>
      </c>
      <c r="K38" s="19" t="b">
        <v>1</v>
      </c>
      <c r="L38" s="19" t="b">
        <v>1</v>
      </c>
      <c r="M38" s="19" t="b">
        <v>1</v>
      </c>
      <c r="N38" s="19" t="b">
        <v>1</v>
      </c>
      <c r="O38" s="19" t="b">
        <v>1</v>
      </c>
      <c r="P38" s="155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</row>
    <row r="39" ht="15.75" customHeight="1" outlineLevel="1">
      <c r="A39" s="19" t="b">
        <v>0</v>
      </c>
      <c r="B39" s="35" t="s">
        <v>374</v>
      </c>
      <c r="C39" s="35" t="s">
        <v>167</v>
      </c>
      <c r="D39" s="35" t="s">
        <v>21</v>
      </c>
      <c r="E39" s="35">
        <v>8.0</v>
      </c>
      <c r="F39" s="35">
        <v>2.0</v>
      </c>
      <c r="G39" s="35" t="s">
        <v>70</v>
      </c>
      <c r="H39" s="34"/>
      <c r="I39" s="34"/>
      <c r="J39" s="149">
        <v>45786.0</v>
      </c>
      <c r="K39" s="19" t="b">
        <v>1</v>
      </c>
      <c r="L39" s="19" t="b">
        <v>1</v>
      </c>
      <c r="M39" s="19" t="b">
        <v>1</v>
      </c>
      <c r="N39" s="19" t="b">
        <v>1</v>
      </c>
      <c r="O39" s="19" t="b">
        <v>1</v>
      </c>
      <c r="P39" s="155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</row>
    <row r="40" ht="15.75" customHeight="1" outlineLevel="1">
      <c r="A40" s="19" t="b">
        <v>0</v>
      </c>
      <c r="B40" s="35" t="s">
        <v>375</v>
      </c>
      <c r="C40" s="35" t="s">
        <v>20</v>
      </c>
      <c r="D40" s="35" t="s">
        <v>21</v>
      </c>
      <c r="E40" s="35">
        <v>1.0</v>
      </c>
      <c r="F40" s="35">
        <v>1.0</v>
      </c>
      <c r="G40" s="35" t="s">
        <v>22</v>
      </c>
      <c r="H40" s="35" t="s">
        <v>23</v>
      </c>
      <c r="I40" s="35" t="s">
        <v>23</v>
      </c>
      <c r="J40" s="105" t="s">
        <v>376</v>
      </c>
      <c r="K40" s="19" t="b">
        <v>0</v>
      </c>
      <c r="L40" s="19" t="b">
        <v>0</v>
      </c>
      <c r="M40" s="19" t="b">
        <v>0</v>
      </c>
      <c r="N40" s="19" t="b">
        <v>0</v>
      </c>
      <c r="O40" s="19" t="b">
        <v>0</v>
      </c>
      <c r="P40" s="155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</row>
    <row r="41" ht="15.75" customHeight="1" outlineLevel="1">
      <c r="A41" s="19" t="b">
        <v>0</v>
      </c>
      <c r="B41" s="35" t="s">
        <v>377</v>
      </c>
      <c r="C41" s="35" t="s">
        <v>20</v>
      </c>
      <c r="D41" s="35" t="s">
        <v>21</v>
      </c>
      <c r="E41" s="35">
        <v>2.0</v>
      </c>
      <c r="F41" s="35">
        <v>2.0</v>
      </c>
      <c r="G41" s="35" t="s">
        <v>378</v>
      </c>
      <c r="H41" s="35" t="s">
        <v>23</v>
      </c>
      <c r="I41" s="35" t="s">
        <v>23</v>
      </c>
      <c r="J41" s="35" t="s">
        <v>379</v>
      </c>
      <c r="K41" s="19" t="b">
        <v>0</v>
      </c>
      <c r="L41" s="19" t="b">
        <v>0</v>
      </c>
      <c r="M41" s="19" t="b">
        <v>0</v>
      </c>
      <c r="N41" s="19" t="b">
        <v>0</v>
      </c>
      <c r="O41" s="19" t="b">
        <v>0</v>
      </c>
      <c r="P41" s="155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</row>
    <row r="42" ht="18.75" customHeight="1" outlineLevel="1">
      <c r="A42" s="19" t="b">
        <v>0</v>
      </c>
      <c r="B42" s="28" t="s">
        <v>380</v>
      </c>
      <c r="C42" s="28" t="s">
        <v>26</v>
      </c>
      <c r="D42" s="28" t="s">
        <v>381</v>
      </c>
      <c r="E42" s="27"/>
      <c r="F42" s="27"/>
      <c r="G42" s="34"/>
      <c r="H42" s="27"/>
      <c r="I42" s="27"/>
      <c r="J42" s="67" t="s">
        <v>382</v>
      </c>
      <c r="K42" s="19" t="b">
        <v>0</v>
      </c>
      <c r="L42" s="19" t="b">
        <v>0</v>
      </c>
      <c r="M42" s="19" t="b">
        <v>0</v>
      </c>
      <c r="N42" s="19" t="b">
        <v>0</v>
      </c>
      <c r="O42" s="19" t="b">
        <v>0</v>
      </c>
      <c r="P42" s="155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</row>
    <row r="43" ht="33.75" customHeight="1" outlineLevel="1">
      <c r="A43" s="19" t="b">
        <v>1</v>
      </c>
      <c r="B43" s="34" t="s">
        <v>383</v>
      </c>
      <c r="C43" s="35" t="s">
        <v>20</v>
      </c>
      <c r="D43" s="35" t="s">
        <v>21</v>
      </c>
      <c r="E43" s="35">
        <v>32.0</v>
      </c>
      <c r="F43" s="34">
        <v>2.0</v>
      </c>
      <c r="G43" s="34" t="s">
        <v>37</v>
      </c>
      <c r="H43" s="34" t="s">
        <v>31</v>
      </c>
      <c r="I43" s="34" t="s">
        <v>31</v>
      </c>
      <c r="J43" s="40" t="s">
        <v>384</v>
      </c>
      <c r="K43" s="19" t="b">
        <v>1</v>
      </c>
      <c r="L43" s="19" t="b">
        <v>1</v>
      </c>
      <c r="M43" s="202" t="b">
        <v>1</v>
      </c>
      <c r="N43" s="203" t="b">
        <v>1</v>
      </c>
      <c r="O43" s="203" t="b">
        <v>0</v>
      </c>
      <c r="P43" s="155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</row>
    <row r="44" ht="15.75" customHeight="1" outlineLevel="1">
      <c r="A44" s="19" t="b">
        <v>0</v>
      </c>
      <c r="B44" s="34" t="s">
        <v>169</v>
      </c>
      <c r="C44" s="35" t="s">
        <v>26</v>
      </c>
      <c r="D44" s="34" t="s">
        <v>385</v>
      </c>
      <c r="E44" s="34">
        <v>6.0</v>
      </c>
      <c r="F44" s="34">
        <v>2.0</v>
      </c>
      <c r="G44" s="34" t="s">
        <v>70</v>
      </c>
      <c r="H44" s="34" t="s">
        <v>31</v>
      </c>
      <c r="I44" s="34" t="s">
        <v>23</v>
      </c>
      <c r="J44" s="204">
        <v>45758.0</v>
      </c>
      <c r="K44" s="19" t="b">
        <v>1</v>
      </c>
      <c r="L44" s="19" t="b">
        <v>0</v>
      </c>
      <c r="M44" s="19" t="b">
        <v>0</v>
      </c>
      <c r="N44" s="19" t="b">
        <v>0</v>
      </c>
      <c r="O44" s="19" t="b">
        <v>0</v>
      </c>
      <c r="P44" s="155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</row>
    <row r="45" ht="15.75" customHeight="1" outlineLevel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155"/>
      <c r="L45" s="155"/>
      <c r="M45" s="155"/>
      <c r="N45" s="155"/>
      <c r="O45" s="155"/>
      <c r="P45" s="155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</row>
    <row r="46" ht="15.75" customHeight="1" outlineLevel="1">
      <c r="A46" s="34"/>
      <c r="B46" s="34"/>
      <c r="C46" s="34"/>
      <c r="D46" s="34"/>
      <c r="E46" s="34">
        <f>SUM(E2:E44)</f>
        <v>299</v>
      </c>
      <c r="F46" s="34"/>
      <c r="G46" s="34"/>
      <c r="H46" s="34"/>
      <c r="I46" s="34"/>
      <c r="J46" s="34"/>
      <c r="K46" s="155"/>
      <c r="L46" s="155"/>
      <c r="M46" s="155"/>
      <c r="N46" s="155"/>
      <c r="O46" s="155"/>
      <c r="P46" s="155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</row>
    <row r="47" ht="15.75" customHeight="1" outlineLevel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155"/>
      <c r="L47" s="155"/>
      <c r="M47" s="155"/>
      <c r="N47" s="155"/>
      <c r="O47" s="155"/>
      <c r="P47" s="155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</row>
    <row r="48" ht="15.75" customHeight="1" outlineLevel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155"/>
      <c r="L48" s="155"/>
      <c r="M48" s="155"/>
      <c r="N48" s="155"/>
      <c r="O48" s="155"/>
      <c r="P48" s="155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</row>
    <row r="49" ht="15.75" customHeight="1" outlineLevel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155"/>
      <c r="L49" s="155"/>
      <c r="M49" s="155"/>
      <c r="N49" s="155"/>
      <c r="O49" s="155"/>
      <c r="P49" s="155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</row>
    <row r="50" ht="15.75" customHeight="1" outlineLevel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155"/>
      <c r="L50" s="155"/>
      <c r="M50" s="155"/>
      <c r="N50" s="155"/>
      <c r="O50" s="155"/>
      <c r="P50" s="155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</row>
    <row r="51" ht="15.75" customHeight="1" outlineLevel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155"/>
      <c r="L51" s="155"/>
      <c r="M51" s="155"/>
      <c r="N51" s="155"/>
      <c r="O51" s="155"/>
      <c r="P51" s="155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</row>
    <row r="52" ht="15.75" customHeight="1" outlineLevel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155"/>
      <c r="L52" s="155"/>
      <c r="M52" s="155"/>
      <c r="N52" s="155"/>
      <c r="O52" s="155"/>
      <c r="P52" s="155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</row>
    <row r="53" ht="15.75" customHeight="1" outlineLevel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155"/>
      <c r="L53" s="155"/>
      <c r="M53" s="155"/>
      <c r="N53" s="155"/>
      <c r="O53" s="155"/>
      <c r="P53" s="155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</row>
    <row r="54" ht="15.75" customHeight="1" outlineLevel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155"/>
      <c r="L54" s="155"/>
      <c r="M54" s="155"/>
      <c r="N54" s="155"/>
      <c r="O54" s="155"/>
      <c r="P54" s="155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</row>
    <row r="55" ht="15.75" customHeight="1" outlineLevel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155"/>
      <c r="L55" s="155"/>
      <c r="M55" s="155"/>
      <c r="N55" s="155"/>
      <c r="O55" s="155"/>
      <c r="P55" s="155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</row>
    <row r="56" ht="15.75" customHeight="1" outlineLevel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155"/>
      <c r="L56" s="155"/>
      <c r="M56" s="155"/>
      <c r="N56" s="155"/>
      <c r="O56" s="155"/>
      <c r="P56" s="155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</row>
    <row r="57" ht="15.75" customHeight="1" outlineLevel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155"/>
      <c r="L57" s="155"/>
      <c r="M57" s="155"/>
      <c r="N57" s="155"/>
      <c r="O57" s="155"/>
      <c r="P57" s="155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</row>
    <row r="58" ht="15.75" customHeight="1" outlineLevel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155"/>
      <c r="L58" s="155"/>
      <c r="M58" s="155"/>
      <c r="N58" s="155"/>
      <c r="O58" s="155"/>
      <c r="P58" s="155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</row>
    <row r="59" ht="15.75" customHeight="1" outlineLevel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155"/>
      <c r="L59" s="155"/>
      <c r="M59" s="155"/>
      <c r="N59" s="155"/>
      <c r="O59" s="155"/>
      <c r="P59" s="155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</row>
    <row r="60" ht="15.75" customHeight="1" outlineLevel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155"/>
      <c r="L60" s="155"/>
      <c r="M60" s="155"/>
      <c r="N60" s="155"/>
      <c r="O60" s="155"/>
      <c r="P60" s="155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</row>
    <row r="61" ht="15.75" customHeight="1" outlineLevel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155"/>
      <c r="L61" s="155"/>
      <c r="M61" s="155"/>
      <c r="N61" s="155"/>
      <c r="O61" s="155"/>
      <c r="P61" s="155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</row>
    <row r="62" ht="15.75" customHeight="1" outlineLevel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155"/>
      <c r="L62" s="155"/>
      <c r="M62" s="155"/>
      <c r="N62" s="155"/>
      <c r="O62" s="155"/>
      <c r="P62" s="155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</row>
    <row r="63" ht="15.75" customHeight="1" outlineLevel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155"/>
      <c r="L63" s="155"/>
      <c r="M63" s="155"/>
      <c r="N63" s="155"/>
      <c r="O63" s="155"/>
      <c r="P63" s="155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</row>
    <row r="64" ht="15.75" customHeight="1" outlineLevel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155"/>
      <c r="L64" s="155"/>
      <c r="M64" s="155"/>
      <c r="N64" s="155"/>
      <c r="O64" s="155"/>
      <c r="P64" s="155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</row>
    <row r="65" ht="15.75" customHeight="1" outlineLevel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155"/>
      <c r="L65" s="155"/>
      <c r="M65" s="155"/>
      <c r="N65" s="155"/>
      <c r="O65" s="155"/>
      <c r="P65" s="155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</row>
    <row r="66" ht="15.75" customHeight="1" outlineLevel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155"/>
      <c r="L66" s="155"/>
      <c r="M66" s="155"/>
      <c r="N66" s="155"/>
      <c r="O66" s="155"/>
      <c r="P66" s="155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</row>
    <row r="67" ht="15.75" customHeight="1" outlineLevel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155"/>
      <c r="L67" s="155"/>
      <c r="M67" s="155"/>
      <c r="N67" s="155"/>
      <c r="O67" s="155"/>
      <c r="P67" s="155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</row>
    <row r="68" ht="15.75" customHeight="1" outlineLevel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155"/>
      <c r="L68" s="155"/>
      <c r="M68" s="155"/>
      <c r="N68" s="155"/>
      <c r="O68" s="155"/>
      <c r="P68" s="155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</row>
    <row r="69" ht="15.75" customHeight="1" outlineLevel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155"/>
      <c r="L69" s="155"/>
      <c r="M69" s="155"/>
      <c r="N69" s="155"/>
      <c r="O69" s="155"/>
      <c r="P69" s="155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</row>
    <row r="70" ht="15.75" customHeight="1" outlineLevel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155"/>
      <c r="L70" s="155"/>
      <c r="M70" s="155"/>
      <c r="N70" s="155"/>
      <c r="O70" s="155"/>
      <c r="P70" s="155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</row>
    <row r="71" ht="15.75" customHeight="1" outlineLevel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155"/>
      <c r="L71" s="155"/>
      <c r="M71" s="155"/>
      <c r="N71" s="155"/>
      <c r="O71" s="155"/>
      <c r="P71" s="155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</row>
    <row r="72" ht="15.75" customHeight="1" outlineLevel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155"/>
      <c r="L72" s="155"/>
      <c r="M72" s="155"/>
      <c r="N72" s="155"/>
      <c r="O72" s="155"/>
      <c r="P72" s="155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</row>
    <row r="73" ht="15.75" customHeight="1" outlineLevel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155"/>
      <c r="L73" s="155"/>
      <c r="M73" s="155"/>
      <c r="N73" s="155"/>
      <c r="O73" s="155"/>
      <c r="P73" s="155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</row>
    <row r="74" ht="15.75" customHeight="1" outlineLevel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155"/>
      <c r="L74" s="155"/>
      <c r="M74" s="155"/>
      <c r="N74" s="155"/>
      <c r="O74" s="155"/>
      <c r="P74" s="155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</row>
    <row r="75" ht="15.75" customHeight="1" outlineLevel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155"/>
      <c r="L75" s="155"/>
      <c r="M75" s="155"/>
      <c r="N75" s="155"/>
      <c r="O75" s="155"/>
      <c r="P75" s="155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</row>
    <row r="76" ht="15.75" customHeight="1" outlineLevel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155"/>
      <c r="L76" s="155"/>
      <c r="M76" s="155"/>
      <c r="N76" s="155"/>
      <c r="O76" s="155"/>
      <c r="P76" s="155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</row>
    <row r="77" ht="15.75" customHeight="1" outlineLevel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155"/>
      <c r="L77" s="155"/>
      <c r="M77" s="155"/>
      <c r="N77" s="155"/>
      <c r="O77" s="155"/>
      <c r="P77" s="155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</row>
    <row r="78" ht="15.75" customHeight="1" outlineLevel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155"/>
      <c r="L78" s="155"/>
      <c r="M78" s="155"/>
      <c r="N78" s="155"/>
      <c r="O78" s="155"/>
      <c r="P78" s="155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</row>
    <row r="79" ht="15.75" customHeight="1" outlineLevel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155"/>
      <c r="L79" s="155"/>
      <c r="M79" s="155"/>
      <c r="N79" s="155"/>
      <c r="O79" s="155"/>
      <c r="P79" s="155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</row>
    <row r="80" ht="15.75" customHeight="1" outlineLevel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155"/>
      <c r="L80" s="155"/>
      <c r="M80" s="155"/>
      <c r="N80" s="155"/>
      <c r="O80" s="155"/>
      <c r="P80" s="155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</row>
    <row r="81" ht="15.75" customHeight="1" outlineLevel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155"/>
      <c r="L81" s="155"/>
      <c r="M81" s="155"/>
      <c r="N81" s="155"/>
      <c r="O81" s="155"/>
      <c r="P81" s="155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</row>
    <row r="82" ht="15.75" customHeight="1" outlineLevel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155"/>
      <c r="L82" s="155"/>
      <c r="M82" s="155"/>
      <c r="N82" s="155"/>
      <c r="O82" s="155"/>
      <c r="P82" s="155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</row>
    <row r="83" ht="15.75" customHeight="1" outlineLevel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155"/>
      <c r="L83" s="155"/>
      <c r="M83" s="155"/>
      <c r="N83" s="155"/>
      <c r="O83" s="155"/>
      <c r="P83" s="155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</row>
    <row r="84" ht="15.75" customHeight="1" outlineLevel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155"/>
      <c r="L84" s="155"/>
      <c r="M84" s="155"/>
      <c r="N84" s="155"/>
      <c r="O84" s="155"/>
      <c r="P84" s="155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</row>
    <row r="85" ht="15.75" customHeight="1" outlineLevel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155"/>
      <c r="L85" s="155"/>
      <c r="M85" s="155"/>
      <c r="N85" s="155"/>
      <c r="O85" s="155"/>
      <c r="P85" s="155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</row>
    <row r="86" ht="15.75" customHeight="1" outlineLevel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155"/>
      <c r="L86" s="155"/>
      <c r="M86" s="155"/>
      <c r="N86" s="155"/>
      <c r="O86" s="155"/>
      <c r="P86" s="155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</row>
    <row r="87" ht="15.75" customHeight="1" outlineLevel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155"/>
      <c r="L87" s="155"/>
      <c r="M87" s="155"/>
      <c r="N87" s="155"/>
      <c r="O87" s="155"/>
      <c r="P87" s="155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</row>
    <row r="88" ht="15.75" customHeight="1" outlineLevel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155"/>
      <c r="L88" s="155"/>
      <c r="M88" s="155"/>
      <c r="N88" s="155"/>
      <c r="O88" s="155"/>
      <c r="P88" s="155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</row>
    <row r="89" ht="15.75" customHeight="1" outlineLevel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155"/>
      <c r="L89" s="155"/>
      <c r="M89" s="155"/>
      <c r="N89" s="155"/>
      <c r="O89" s="155"/>
      <c r="P89" s="155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</row>
    <row r="90" ht="15.75" customHeight="1" outlineLevel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155"/>
      <c r="L90" s="155"/>
      <c r="M90" s="155"/>
      <c r="N90" s="155"/>
      <c r="O90" s="155"/>
      <c r="P90" s="155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</row>
    <row r="91" ht="15.75" customHeight="1" outlineLevel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155"/>
      <c r="L91" s="155"/>
      <c r="M91" s="155"/>
      <c r="N91" s="155"/>
      <c r="O91" s="155"/>
      <c r="P91" s="155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</row>
    <row r="92" ht="15.75" customHeight="1" outlineLevel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155"/>
      <c r="L92" s="155"/>
      <c r="M92" s="155"/>
      <c r="N92" s="155"/>
      <c r="O92" s="155"/>
      <c r="P92" s="155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</row>
    <row r="93" ht="15.75" customHeight="1" outlineLevel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155"/>
      <c r="L93" s="155"/>
      <c r="M93" s="155"/>
      <c r="N93" s="155"/>
      <c r="O93" s="155"/>
      <c r="P93" s="155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</row>
    <row r="94" ht="15.75" customHeight="1" outlineLevel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155"/>
      <c r="L94" s="155"/>
      <c r="M94" s="155"/>
      <c r="N94" s="155"/>
      <c r="O94" s="155"/>
      <c r="P94" s="155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</row>
    <row r="95" ht="15.75" customHeight="1" outlineLevel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155"/>
      <c r="L95" s="155"/>
      <c r="M95" s="155"/>
      <c r="N95" s="155"/>
      <c r="O95" s="155"/>
      <c r="P95" s="155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</row>
    <row r="96" ht="15.75" customHeight="1" outlineLevel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155"/>
      <c r="L96" s="155"/>
      <c r="M96" s="155"/>
      <c r="N96" s="155"/>
      <c r="O96" s="155"/>
      <c r="P96" s="155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</row>
    <row r="97" ht="15.75" customHeight="1">
      <c r="A97" s="117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</row>
    <row r="98" ht="15.75" customHeight="1">
      <c r="A98" s="117"/>
      <c r="B98" s="118"/>
      <c r="Z98" s="118"/>
      <c r="AA98" s="118"/>
      <c r="AB98" s="118"/>
      <c r="AC98" s="118"/>
      <c r="AD98" s="118"/>
      <c r="AE98" s="118"/>
      <c r="AF98" s="118"/>
      <c r="AG98" s="118"/>
      <c r="AH98" s="118"/>
    </row>
    <row r="99">
      <c r="A99" s="117"/>
      <c r="B99" s="118"/>
      <c r="Z99" s="118"/>
      <c r="AA99" s="118"/>
      <c r="AB99" s="118"/>
      <c r="AC99" s="118"/>
      <c r="AD99" s="118"/>
      <c r="AE99" s="118"/>
      <c r="AF99" s="118"/>
      <c r="AG99" s="118"/>
      <c r="AH99" s="118"/>
    </row>
    <row r="100" ht="15.75" customHeight="1">
      <c r="A100" s="118"/>
      <c r="B100" s="118"/>
      <c r="Z100" s="118"/>
      <c r="AA100" s="118"/>
      <c r="AB100" s="118"/>
      <c r="AC100" s="118"/>
      <c r="AD100" s="118"/>
      <c r="AE100" s="118"/>
      <c r="AF100" s="118"/>
      <c r="AG100" s="118"/>
      <c r="AH100" s="118"/>
    </row>
    <row r="101" ht="15.75" customHeight="1">
      <c r="A101" s="118"/>
      <c r="B101" s="118"/>
      <c r="Z101" s="118"/>
      <c r="AA101" s="118"/>
      <c r="AB101" s="118"/>
      <c r="AC101" s="118"/>
      <c r="AD101" s="118"/>
      <c r="AE101" s="118"/>
      <c r="AF101" s="118"/>
      <c r="AG101" s="118"/>
      <c r="AH101" s="118"/>
    </row>
    <row r="102" ht="15.75" customHeight="1">
      <c r="A102" s="118"/>
      <c r="B102" s="118"/>
      <c r="Z102" s="118"/>
      <c r="AA102" s="118"/>
      <c r="AB102" s="118"/>
      <c r="AC102" s="118"/>
      <c r="AD102" s="118"/>
      <c r="AE102" s="118"/>
      <c r="AF102" s="118"/>
      <c r="AG102" s="118"/>
      <c r="AH102" s="118"/>
    </row>
    <row r="103" ht="15.75" customHeight="1">
      <c r="A103" s="118"/>
      <c r="B103" s="118"/>
      <c r="Z103" s="118"/>
      <c r="AA103" s="118"/>
      <c r="AB103" s="118"/>
      <c r="AC103" s="118"/>
      <c r="AD103" s="118"/>
      <c r="AE103" s="118"/>
      <c r="AF103" s="118"/>
      <c r="AG103" s="118"/>
      <c r="AH103" s="118"/>
    </row>
    <row r="104" ht="15.75" customHeight="1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</row>
    <row r="105" ht="15.75" customHeight="1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</row>
    <row r="106" ht="15.7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</row>
    <row r="107" ht="15.7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</row>
    <row r="108" ht="15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</row>
    <row r="109" ht="15.7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</row>
    <row r="110" ht="15.7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</row>
    <row r="111" ht="15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</row>
    <row r="112" ht="15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</row>
    <row r="113" ht="15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</row>
    <row r="114" ht="15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</row>
    <row r="115" ht="15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</row>
    <row r="116" ht="15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</row>
    <row r="117" ht="15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</row>
    <row r="118" ht="15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</row>
    <row r="119" ht="15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</row>
    <row r="120" ht="15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</row>
    <row r="121" ht="15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</row>
    <row r="122" ht="15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</row>
    <row r="123" ht="15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</row>
    <row r="124" ht="15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</row>
    <row r="125" ht="15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</row>
    <row r="126" ht="15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</row>
    <row r="127" ht="15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</row>
    <row r="128" ht="15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</row>
    <row r="129" ht="15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</row>
    <row r="130" ht="15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</row>
    <row r="131" ht="15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</row>
    <row r="132" ht="15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</row>
    <row r="133" ht="15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</row>
    <row r="134" ht="15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</row>
    <row r="135" ht="15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</row>
    <row r="136" ht="15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</row>
    <row r="137" ht="15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</row>
    <row r="138" ht="15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</row>
    <row r="139" ht="15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</row>
    <row r="140" ht="15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</row>
    <row r="141" ht="15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</row>
    <row r="142" ht="15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</row>
    <row r="143" ht="15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</row>
    <row r="144" ht="15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</row>
    <row r="145" ht="15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</row>
    <row r="146" ht="15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</row>
    <row r="147" ht="15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</row>
    <row r="148" ht="15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</row>
    <row r="149" ht="15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</row>
    <row r="150" ht="15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</row>
    <row r="151" ht="15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</row>
    <row r="152" ht="15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</row>
    <row r="153" ht="15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</row>
    <row r="154" ht="15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</row>
    <row r="155" ht="15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</row>
    <row r="156" ht="15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</row>
    <row r="157" ht="15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</row>
    <row r="158" ht="15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</row>
    <row r="159" ht="15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</row>
    <row r="160" ht="15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</row>
    <row r="161" ht="15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</row>
    <row r="162" ht="15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</row>
    <row r="163" ht="15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</row>
    <row r="164" ht="15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</row>
    <row r="165" ht="15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</row>
    <row r="166" ht="15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</row>
    <row r="167" ht="15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</row>
    <row r="168" ht="15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</row>
    <row r="169" ht="15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</row>
    <row r="170" ht="15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</row>
    <row r="171" ht="15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</row>
    <row r="172" ht="15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</row>
    <row r="173" ht="15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</row>
    <row r="174" ht="15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</row>
    <row r="175" ht="15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</row>
    <row r="176" ht="15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</row>
    <row r="177" ht="15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</row>
    <row r="178" ht="15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</row>
    <row r="179" ht="15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</row>
    <row r="180" ht="15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</row>
    <row r="181" ht="15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</row>
    <row r="182" ht="15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</row>
    <row r="183" ht="15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</row>
    <row r="184" ht="15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</row>
    <row r="185" ht="15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</row>
    <row r="186" ht="15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</row>
    <row r="187" ht="15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</row>
    <row r="188" ht="15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</row>
    <row r="189" ht="15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</row>
    <row r="190" ht="15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</row>
    <row r="191" ht="15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</row>
    <row r="192" ht="15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</row>
    <row r="193" ht="15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</row>
    <row r="194" ht="15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</row>
    <row r="195" ht="15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</row>
    <row r="196" ht="15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</row>
    <row r="197" ht="15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</row>
    <row r="198" ht="15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</row>
    <row r="199" ht="15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</row>
    <row r="200" ht="15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</row>
    <row r="201" ht="15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</row>
    <row r="202" ht="15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</row>
    <row r="203" ht="15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</row>
    <row r="204" ht="15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</row>
    <row r="205" ht="15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</row>
    <row r="206" ht="15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</row>
    <row r="207" ht="15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</row>
    <row r="208" ht="15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</row>
    <row r="209" ht="15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</row>
    <row r="210" ht="15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</row>
    <row r="211" ht="15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</row>
    <row r="212" ht="15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</row>
    <row r="213" ht="15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</row>
    <row r="214" ht="15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</row>
    <row r="215" ht="15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</row>
    <row r="216" ht="15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</row>
    <row r="217" ht="15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</row>
    <row r="218" ht="15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</row>
    <row r="219" ht="15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</row>
    <row r="220" ht="15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</row>
    <row r="221" ht="15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</row>
    <row r="222" ht="15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</row>
    <row r="223" ht="15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</row>
    <row r="224" ht="15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</row>
    <row r="225" ht="15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</row>
    <row r="226" ht="15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</row>
    <row r="227" ht="15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</row>
    <row r="228" ht="15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</row>
    <row r="229" ht="15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</row>
    <row r="230" ht="15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</row>
    <row r="231" ht="15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</row>
    <row r="232" ht="15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</row>
    <row r="233" ht="15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</row>
    <row r="234" ht="15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</row>
    <row r="235" ht="15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</row>
    <row r="236" ht="15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</row>
    <row r="237" ht="15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</row>
    <row r="238" ht="15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</row>
    <row r="239" ht="15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</row>
    <row r="240" ht="15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</row>
    <row r="241" ht="15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</row>
    <row r="242" ht="15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</row>
    <row r="243" ht="15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</row>
    <row r="244" ht="15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</row>
    <row r="245" ht="15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</row>
    <row r="246" ht="15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</row>
    <row r="247" ht="15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</row>
    <row r="248" ht="15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</row>
    <row r="249" ht="15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</row>
    <row r="250" ht="15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</row>
    <row r="251" ht="15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</row>
    <row r="252" ht="15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</row>
    <row r="253" ht="15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</row>
    <row r="254" ht="15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</row>
    <row r="255" ht="15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</row>
    <row r="256" ht="15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</row>
    <row r="257" ht="15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</row>
    <row r="258" ht="15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</row>
    <row r="259" ht="15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</row>
    <row r="260" ht="15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</row>
    <row r="261" ht="15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</row>
    <row r="262" ht="15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</row>
    <row r="263" ht="15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</row>
    <row r="264" ht="15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</row>
    <row r="265" ht="15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</row>
    <row r="266" ht="15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</row>
    <row r="267" ht="15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</row>
    <row r="268" ht="15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</row>
    <row r="269" ht="15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</row>
    <row r="270" ht="15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</row>
    <row r="271" ht="15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</row>
    <row r="272" ht="15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  <c r="AH272" s="118"/>
    </row>
    <row r="273" ht="15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</row>
    <row r="274" ht="15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</row>
    <row r="275" ht="15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</row>
    <row r="276" ht="15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</row>
    <row r="277" ht="15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</row>
    <row r="278" ht="15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</row>
    <row r="279" ht="15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</row>
    <row r="280" ht="15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</row>
    <row r="281" ht="15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</row>
    <row r="282" ht="15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  <c r="AH282" s="118"/>
    </row>
    <row r="283" ht="15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</row>
    <row r="284" ht="15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</row>
    <row r="285" ht="15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</row>
    <row r="286" ht="15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</row>
    <row r="287" ht="15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</row>
    <row r="288" ht="15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</row>
    <row r="289" ht="15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</row>
    <row r="290" ht="15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</row>
    <row r="291" ht="15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</row>
    <row r="292" ht="15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</row>
    <row r="293" ht="15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</row>
    <row r="294" ht="15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</row>
    <row r="295" ht="15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</row>
    <row r="296" ht="15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</row>
    <row r="297" ht="15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</row>
    <row r="298" ht="15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</row>
    <row r="299" ht="15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</row>
    <row r="300" ht="15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  <c r="AH300" s="118"/>
    </row>
    <row r="301" ht="15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</row>
    <row r="302" ht="15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</row>
    <row r="303" ht="15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</row>
    <row r="304" ht="15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</row>
    <row r="305" ht="15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</row>
    <row r="306" ht="15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</row>
    <row r="307" ht="15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</row>
    <row r="308" ht="15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</row>
    <row r="309" ht="15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</row>
    <row r="310" ht="15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</row>
    <row r="311" ht="15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</row>
    <row r="312" ht="15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</row>
    <row r="313" ht="15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</row>
    <row r="314" ht="15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</row>
    <row r="315" ht="15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</row>
    <row r="316" ht="15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</row>
    <row r="317" ht="15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</row>
    <row r="318" ht="15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</row>
    <row r="319" ht="15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</row>
    <row r="320" ht="15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  <c r="AH320" s="118"/>
    </row>
    <row r="321" ht="15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</row>
    <row r="322" ht="15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</row>
    <row r="323" ht="15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  <c r="AH323" s="118"/>
    </row>
    <row r="324" ht="15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  <c r="AH324" s="118"/>
    </row>
    <row r="325" ht="15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  <c r="AH325" s="118"/>
    </row>
    <row r="326" ht="15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8"/>
    </row>
    <row r="327" ht="15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  <c r="AH327" s="118"/>
    </row>
    <row r="328" ht="15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  <c r="AH328" s="118"/>
    </row>
    <row r="329" ht="15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8"/>
    </row>
    <row r="330" ht="15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  <c r="AH330" s="118"/>
    </row>
    <row r="331" ht="15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</row>
    <row r="332" ht="15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8"/>
    </row>
    <row r="333" ht="15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8"/>
    </row>
    <row r="334" ht="15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  <c r="AH334" s="118"/>
    </row>
    <row r="335" ht="15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  <c r="AH335" s="118"/>
    </row>
    <row r="336" ht="15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  <c r="AH336" s="118"/>
    </row>
    <row r="337" ht="15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  <c r="AH337" s="118"/>
    </row>
    <row r="338" ht="15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  <c r="AH338" s="118"/>
    </row>
    <row r="339" ht="15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  <c r="AH339" s="118"/>
    </row>
    <row r="340" ht="15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  <c r="AH340" s="118"/>
    </row>
    <row r="341" ht="15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  <c r="AH341" s="118"/>
    </row>
    <row r="342" ht="15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  <c r="AH342" s="118"/>
    </row>
    <row r="343" ht="15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  <c r="AH343" s="118"/>
    </row>
    <row r="344" ht="15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  <c r="AH344" s="118"/>
    </row>
    <row r="345" ht="15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  <c r="AH345" s="118"/>
    </row>
    <row r="346" ht="15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  <c r="AH346" s="118"/>
    </row>
    <row r="347" ht="15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  <c r="AH347" s="118"/>
    </row>
    <row r="348" ht="15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  <c r="AH348" s="118"/>
    </row>
    <row r="349" ht="15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  <c r="AH349" s="118"/>
    </row>
    <row r="350" ht="15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  <c r="AH350" s="118"/>
    </row>
    <row r="351" ht="15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  <c r="AH351" s="118"/>
    </row>
    <row r="352" ht="15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  <c r="AH352" s="118"/>
    </row>
    <row r="353" ht="15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  <c r="AH353" s="118"/>
    </row>
    <row r="354" ht="15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  <c r="AH354" s="118"/>
    </row>
    <row r="355" ht="15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  <c r="AH355" s="118"/>
    </row>
    <row r="356" ht="15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  <c r="AH356" s="118"/>
    </row>
    <row r="357" ht="15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  <c r="AH357" s="118"/>
    </row>
    <row r="358" ht="15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  <c r="AH358" s="118"/>
    </row>
    <row r="359" ht="15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  <c r="AH359" s="118"/>
    </row>
    <row r="360" ht="15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</row>
    <row r="361" ht="15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  <c r="AH361" s="118"/>
    </row>
    <row r="362" ht="15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</row>
    <row r="363" ht="15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</row>
    <row r="364" ht="15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  <c r="AH364" s="118"/>
    </row>
    <row r="365" ht="15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  <c r="AH365" s="118"/>
    </row>
    <row r="366" ht="15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  <c r="AH366" s="118"/>
    </row>
    <row r="367" ht="15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  <c r="AH367" s="118"/>
    </row>
    <row r="368" ht="15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  <c r="AH368" s="118"/>
    </row>
    <row r="369" ht="15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  <c r="AH369" s="118"/>
    </row>
    <row r="370" ht="15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  <c r="AH370" s="118"/>
    </row>
    <row r="371" ht="15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  <c r="AH371" s="118"/>
    </row>
    <row r="372" ht="15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  <c r="AH372" s="118"/>
    </row>
    <row r="373" ht="15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  <c r="AH373" s="118"/>
    </row>
    <row r="374" ht="15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  <c r="AH374" s="118"/>
    </row>
    <row r="375" ht="15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  <c r="AH375" s="118"/>
    </row>
    <row r="376" ht="15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  <c r="AH376" s="118"/>
    </row>
    <row r="377" ht="15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  <c r="AH377" s="118"/>
    </row>
    <row r="378" ht="15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</row>
    <row r="379" ht="15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  <c r="AH379" s="118"/>
    </row>
    <row r="380" ht="15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  <c r="AH380" s="118"/>
    </row>
    <row r="381" ht="15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8"/>
    </row>
    <row r="382" ht="15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8"/>
    </row>
    <row r="383" ht="15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</row>
    <row r="384" ht="15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  <c r="AH384" s="118"/>
    </row>
    <row r="385" ht="15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  <c r="AH385" s="118"/>
    </row>
    <row r="386" ht="15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  <c r="AH386" s="118"/>
    </row>
    <row r="387" ht="15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  <c r="AH387" s="118"/>
    </row>
    <row r="388" ht="15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  <c r="AH388" s="118"/>
    </row>
    <row r="389" ht="15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  <c r="AH389" s="118"/>
    </row>
    <row r="390" ht="15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  <c r="AH390" s="118"/>
    </row>
    <row r="391" ht="15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  <c r="AH391" s="118"/>
    </row>
    <row r="392" ht="15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  <c r="AH392" s="118"/>
    </row>
    <row r="393" ht="15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  <c r="AH393" s="118"/>
    </row>
    <row r="394" ht="15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  <c r="AH394" s="118"/>
    </row>
    <row r="395" ht="15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  <c r="AH395" s="118"/>
    </row>
    <row r="396" ht="15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  <c r="AH396" s="118"/>
    </row>
    <row r="397" ht="15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</row>
    <row r="398" ht="15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</row>
    <row r="399" ht="15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  <c r="AH399" s="118"/>
    </row>
    <row r="400" ht="15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  <c r="AH400" s="118"/>
    </row>
    <row r="401" ht="15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  <c r="AH401" s="118"/>
    </row>
    <row r="402" ht="15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</row>
    <row r="403" ht="15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  <c r="AH403" s="118"/>
    </row>
    <row r="404" ht="15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  <c r="AH404" s="118"/>
    </row>
    <row r="405" ht="15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  <c r="AH405" s="118"/>
    </row>
    <row r="406" ht="15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  <c r="AH406" s="118"/>
    </row>
    <row r="407" ht="15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  <c r="AH407" s="118"/>
    </row>
    <row r="408" ht="15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  <c r="AH408" s="118"/>
    </row>
    <row r="409" ht="15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  <c r="AH409" s="118"/>
    </row>
    <row r="410" ht="15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  <c r="AH410" s="118"/>
    </row>
    <row r="411" ht="15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  <c r="AH411" s="118"/>
    </row>
    <row r="412" ht="15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</row>
    <row r="413" ht="15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  <c r="AH413" s="118"/>
    </row>
    <row r="414" ht="15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  <c r="AH414" s="118"/>
    </row>
    <row r="415" ht="15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  <c r="AH415" s="118"/>
    </row>
    <row r="416" ht="15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  <c r="AH416" s="118"/>
    </row>
    <row r="417" ht="15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  <c r="AH417" s="118"/>
    </row>
    <row r="418" ht="15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  <c r="AH418" s="118"/>
    </row>
    <row r="419" ht="15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  <c r="AH419" s="118"/>
    </row>
    <row r="420" ht="15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  <c r="AH420" s="118"/>
    </row>
    <row r="421" ht="15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  <c r="AH421" s="118"/>
    </row>
    <row r="422" ht="15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  <c r="AH422" s="118"/>
    </row>
    <row r="423" ht="15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  <c r="AH423" s="118"/>
    </row>
    <row r="424" ht="15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  <c r="AH424" s="118"/>
    </row>
    <row r="425" ht="15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</row>
    <row r="426" ht="15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</row>
    <row r="427" ht="15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</row>
    <row r="428" ht="15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  <c r="AH428" s="118"/>
    </row>
    <row r="429" ht="15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  <c r="AH429" s="118"/>
    </row>
    <row r="430" ht="15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</row>
    <row r="431" ht="15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</row>
    <row r="432" ht="15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</row>
    <row r="433" ht="15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</row>
    <row r="434" ht="15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8"/>
    </row>
    <row r="435" ht="15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8"/>
    </row>
    <row r="436" ht="15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8"/>
    </row>
    <row r="437" ht="15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8"/>
    </row>
    <row r="438" ht="15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</row>
    <row r="439" ht="15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</row>
    <row r="440" ht="15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</row>
    <row r="441" ht="15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</row>
    <row r="442" ht="15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</row>
    <row r="443" ht="15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</row>
    <row r="444" ht="15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</row>
    <row r="445" ht="15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</row>
    <row r="446" ht="15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</row>
    <row r="447" ht="15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</row>
    <row r="448" ht="15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</row>
    <row r="449" ht="15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</row>
    <row r="450" ht="15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</row>
    <row r="451" ht="15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</row>
    <row r="452" ht="15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</row>
    <row r="453" ht="15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  <c r="AH453" s="118"/>
    </row>
    <row r="454" ht="15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  <c r="AH454" s="118"/>
    </row>
    <row r="455" ht="15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  <c r="AH455" s="118"/>
    </row>
    <row r="456" ht="15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  <c r="AH456" s="118"/>
    </row>
    <row r="457" ht="15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  <c r="AH457" s="118"/>
    </row>
    <row r="458" ht="15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  <c r="AH458" s="118"/>
    </row>
    <row r="459" ht="15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  <c r="AH459" s="118"/>
    </row>
    <row r="460" ht="15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  <c r="AH460" s="118"/>
    </row>
    <row r="461" ht="15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  <c r="AH461" s="118"/>
    </row>
    <row r="462" ht="15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  <c r="AH462" s="118"/>
    </row>
    <row r="463" ht="15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  <c r="AH463" s="118"/>
    </row>
    <row r="464" ht="15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  <c r="AH464" s="118"/>
    </row>
    <row r="465" ht="15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  <c r="AH465" s="118"/>
    </row>
    <row r="466" ht="15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  <c r="AH466" s="118"/>
    </row>
    <row r="467" ht="15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  <c r="AH467" s="118"/>
    </row>
    <row r="468" ht="15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  <c r="AH468" s="118"/>
    </row>
    <row r="469" ht="15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  <c r="AH469" s="118"/>
    </row>
    <row r="470" ht="15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  <c r="AH470" s="118"/>
    </row>
    <row r="471" ht="15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  <c r="AH471" s="118"/>
    </row>
    <row r="472" ht="15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  <c r="AH472" s="118"/>
    </row>
    <row r="473" ht="15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  <c r="AH473" s="118"/>
    </row>
    <row r="474" ht="15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  <c r="AH474" s="118"/>
    </row>
    <row r="475" ht="15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  <c r="AH475" s="118"/>
    </row>
    <row r="476" ht="15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  <c r="AH476" s="118"/>
    </row>
    <row r="477" ht="15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  <c r="AH477" s="118"/>
    </row>
    <row r="478" ht="15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</row>
    <row r="479" ht="15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</row>
    <row r="480" ht="15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</row>
    <row r="481" ht="15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  <c r="AH481" s="118"/>
    </row>
    <row r="482" ht="15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  <c r="AH482" s="118"/>
    </row>
    <row r="483" ht="15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  <c r="AH483" s="118"/>
    </row>
    <row r="484" ht="15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  <c r="AH484" s="118"/>
    </row>
    <row r="485" ht="15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  <c r="AH485" s="118"/>
    </row>
    <row r="486" ht="15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</row>
    <row r="487" ht="15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</row>
    <row r="488" ht="15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</row>
    <row r="489" ht="15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8"/>
    </row>
    <row r="490" ht="15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</row>
    <row r="491" ht="15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  <c r="AH491" s="118"/>
    </row>
    <row r="492" ht="15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  <c r="AH492" s="118"/>
    </row>
    <row r="493" ht="15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</row>
    <row r="494" ht="15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</row>
    <row r="495" ht="15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  <c r="AH495" s="118"/>
    </row>
    <row r="496" ht="15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  <c r="AH496" s="118"/>
    </row>
    <row r="497" ht="15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  <c r="AH497" s="118"/>
    </row>
    <row r="498" ht="15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  <c r="AH498" s="118"/>
    </row>
    <row r="499" ht="15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  <c r="AH499" s="118"/>
    </row>
    <row r="500" ht="15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  <c r="AH500" s="118"/>
    </row>
    <row r="501" ht="15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  <c r="AH501" s="118"/>
    </row>
    <row r="502" ht="15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</row>
    <row r="503" ht="15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  <c r="AH503" s="118"/>
    </row>
    <row r="504" ht="15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  <c r="AH504" s="118"/>
    </row>
    <row r="505" ht="15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  <c r="AH505" s="118"/>
    </row>
    <row r="506" ht="15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  <c r="AH506" s="118"/>
    </row>
    <row r="507" ht="15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  <c r="AH507" s="118"/>
    </row>
    <row r="508" ht="15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  <c r="AH508" s="118"/>
    </row>
    <row r="509" ht="15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  <c r="AH509" s="118"/>
    </row>
    <row r="510" ht="15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  <c r="AH510" s="118"/>
    </row>
    <row r="511" ht="15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</row>
    <row r="512" ht="15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  <c r="AH512" s="118"/>
    </row>
    <row r="513" ht="15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  <c r="AH513" s="118"/>
    </row>
    <row r="514" ht="15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  <c r="AH514" s="118"/>
    </row>
    <row r="515" ht="15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  <c r="AH515" s="118"/>
    </row>
    <row r="516" ht="15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  <c r="AH516" s="118"/>
    </row>
    <row r="517" ht="15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  <c r="AH517" s="118"/>
    </row>
    <row r="518" ht="15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  <c r="AH518" s="118"/>
    </row>
    <row r="519" ht="15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  <c r="AH519" s="118"/>
    </row>
    <row r="520" ht="15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  <c r="AH520" s="118"/>
    </row>
    <row r="521" ht="15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  <c r="AH521" s="118"/>
    </row>
    <row r="522" ht="15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  <c r="AH522" s="118"/>
    </row>
    <row r="523" ht="15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  <c r="AH523" s="118"/>
    </row>
    <row r="524" ht="15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  <c r="AH524" s="118"/>
    </row>
    <row r="525" ht="15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  <c r="AH525" s="118"/>
    </row>
    <row r="526" ht="15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  <c r="AH526" s="118"/>
    </row>
    <row r="527" ht="15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  <c r="AH527" s="118"/>
    </row>
    <row r="528" ht="15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  <c r="AH528" s="118"/>
    </row>
    <row r="529" ht="15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  <c r="AH529" s="118"/>
    </row>
    <row r="530" ht="15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  <c r="AH530" s="118"/>
    </row>
    <row r="531" ht="15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  <c r="AH531" s="118"/>
    </row>
    <row r="532" ht="15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  <c r="AH532" s="118"/>
    </row>
    <row r="533" ht="15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  <c r="AH533" s="118"/>
    </row>
    <row r="534" ht="15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  <c r="AH534" s="118"/>
    </row>
    <row r="535" ht="15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  <c r="AH535" s="118"/>
    </row>
    <row r="536" ht="15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  <c r="AH536" s="118"/>
    </row>
    <row r="537" ht="15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  <c r="AH537" s="118"/>
    </row>
    <row r="538" ht="15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  <c r="AH538" s="118"/>
    </row>
    <row r="539" ht="15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  <c r="AH539" s="118"/>
    </row>
    <row r="540" ht="15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  <c r="AH540" s="118"/>
    </row>
    <row r="541" ht="15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  <c r="AH541" s="118"/>
    </row>
    <row r="542" ht="15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  <c r="AH542" s="118"/>
    </row>
    <row r="543" ht="15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  <c r="AH543" s="118"/>
    </row>
    <row r="544" ht="15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  <c r="AH544" s="118"/>
    </row>
    <row r="545" ht="15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  <c r="AH545" s="118"/>
    </row>
    <row r="546" ht="15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  <c r="AH546" s="118"/>
    </row>
    <row r="547" ht="15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  <c r="AH547" s="118"/>
    </row>
    <row r="548" ht="15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</row>
    <row r="549" ht="15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  <c r="AH549" s="118"/>
    </row>
    <row r="550" ht="15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  <c r="AH550" s="118"/>
    </row>
    <row r="551" ht="15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  <c r="AH551" s="118"/>
    </row>
    <row r="552" ht="15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  <c r="AH552" s="118"/>
    </row>
    <row r="553" ht="15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  <c r="AH553" s="118"/>
    </row>
    <row r="554" ht="15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  <c r="AH554" s="118"/>
    </row>
    <row r="555" ht="15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  <c r="AH555" s="118"/>
    </row>
    <row r="556" ht="15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  <c r="AH556" s="118"/>
    </row>
    <row r="557" ht="15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  <c r="AH557" s="118"/>
    </row>
    <row r="558" ht="15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  <c r="AH558" s="118"/>
    </row>
    <row r="559" ht="15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  <c r="AH559" s="118"/>
    </row>
    <row r="560" ht="15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  <c r="AH560" s="118"/>
    </row>
    <row r="561" ht="15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  <c r="AH561" s="118"/>
    </row>
    <row r="562" ht="15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  <c r="AH562" s="118"/>
    </row>
    <row r="563" ht="15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  <c r="AH563" s="118"/>
    </row>
    <row r="564" ht="15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  <c r="AH564" s="118"/>
    </row>
    <row r="565" ht="15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  <c r="AH565" s="118"/>
    </row>
    <row r="566" ht="15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  <c r="AH566" s="118"/>
    </row>
    <row r="567" ht="15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  <c r="AH567" s="118"/>
    </row>
    <row r="568" ht="15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  <c r="AH568" s="118"/>
    </row>
    <row r="569" ht="15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  <c r="AH569" s="118"/>
    </row>
    <row r="570" ht="15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  <c r="AH570" s="118"/>
    </row>
    <row r="571" ht="15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  <c r="AH571" s="118"/>
    </row>
    <row r="572" ht="15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  <c r="AH572" s="118"/>
    </row>
    <row r="573" ht="15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  <c r="AH573" s="118"/>
    </row>
    <row r="574" ht="15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  <c r="AH574" s="118"/>
    </row>
    <row r="575" ht="15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  <c r="AH575" s="118"/>
    </row>
    <row r="576" ht="15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  <c r="AH576" s="118"/>
    </row>
    <row r="577" ht="15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  <c r="AH577" s="118"/>
    </row>
    <row r="578" ht="15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  <c r="AH578" s="118"/>
    </row>
    <row r="579" ht="15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  <c r="AH579" s="118"/>
    </row>
    <row r="580" ht="15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  <c r="AH580" s="118"/>
    </row>
    <row r="581" ht="15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  <c r="AH581" s="118"/>
    </row>
    <row r="582" ht="15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  <c r="AH582" s="118"/>
    </row>
    <row r="583" ht="15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  <c r="AH583" s="118"/>
    </row>
    <row r="584" ht="15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  <c r="AH584" s="118"/>
    </row>
    <row r="585" ht="15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  <c r="AH585" s="118"/>
    </row>
    <row r="586" ht="15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  <c r="AH586" s="118"/>
    </row>
    <row r="587" ht="15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  <c r="AH587" s="118"/>
    </row>
    <row r="588" ht="15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  <c r="AH588" s="118"/>
    </row>
    <row r="589" ht="15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  <c r="AH589" s="118"/>
    </row>
    <row r="590" ht="15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  <c r="AH590" s="118"/>
    </row>
    <row r="591" ht="15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  <c r="AH591" s="118"/>
    </row>
    <row r="592" ht="15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  <c r="AH592" s="118"/>
    </row>
    <row r="593" ht="15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  <c r="AH593" s="118"/>
    </row>
    <row r="594" ht="15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  <c r="AH594" s="118"/>
    </row>
    <row r="595" ht="15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  <c r="AH595" s="118"/>
    </row>
    <row r="596" ht="15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  <c r="AH596" s="118"/>
    </row>
    <row r="597" ht="15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  <c r="AH597" s="118"/>
    </row>
    <row r="598" ht="15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  <c r="AH598" s="118"/>
    </row>
    <row r="599" ht="15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  <c r="AH599" s="118"/>
    </row>
    <row r="600" ht="15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</row>
    <row r="601" ht="15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  <c r="AH601" s="118"/>
    </row>
    <row r="602" ht="15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  <c r="AH602" s="118"/>
    </row>
    <row r="603" ht="15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  <c r="AH603" s="118"/>
    </row>
    <row r="604" ht="15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  <c r="AH604" s="118"/>
    </row>
    <row r="605" ht="15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  <c r="AH605" s="118"/>
    </row>
    <row r="606" ht="15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  <c r="AH606" s="118"/>
    </row>
    <row r="607" ht="15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  <c r="AH607" s="118"/>
    </row>
    <row r="608" ht="15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  <c r="AH608" s="118"/>
    </row>
    <row r="609" ht="15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  <c r="AH609" s="118"/>
    </row>
    <row r="610" ht="15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  <c r="AH610" s="118"/>
    </row>
    <row r="611" ht="15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  <c r="AH611" s="118"/>
    </row>
    <row r="612" ht="15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  <c r="AH612" s="118"/>
    </row>
    <row r="613" ht="15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  <c r="AH613" s="118"/>
    </row>
    <row r="614" ht="15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  <c r="AH614" s="118"/>
    </row>
    <row r="615" ht="15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  <c r="AH615" s="118"/>
    </row>
    <row r="616" ht="15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  <c r="AH616" s="118"/>
    </row>
    <row r="617" ht="15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  <c r="AH617" s="118"/>
    </row>
    <row r="618" ht="15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  <c r="AH618" s="118"/>
    </row>
    <row r="619" ht="15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  <c r="AH619" s="118"/>
    </row>
    <row r="620" ht="15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  <c r="AH620" s="118"/>
    </row>
    <row r="621" ht="15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  <c r="AH621" s="118"/>
    </row>
    <row r="622" ht="15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  <c r="AH622" s="118"/>
    </row>
    <row r="623" ht="15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  <c r="AH623" s="118"/>
    </row>
    <row r="624" ht="15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  <c r="AH624" s="118"/>
    </row>
    <row r="625" ht="15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  <c r="AH625" s="118"/>
    </row>
    <row r="626" ht="15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  <c r="AH626" s="118"/>
    </row>
    <row r="627" ht="15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  <c r="AH627" s="118"/>
    </row>
    <row r="628" ht="15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  <c r="AH628" s="118"/>
    </row>
    <row r="629" ht="15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  <c r="AH629" s="118"/>
    </row>
    <row r="630" ht="15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  <c r="AH630" s="118"/>
    </row>
    <row r="631" ht="15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  <c r="AH631" s="118"/>
    </row>
    <row r="632" ht="15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  <c r="AH632" s="118"/>
    </row>
    <row r="633" ht="15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  <c r="AH633" s="118"/>
    </row>
    <row r="634" ht="15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  <c r="AH634" s="118"/>
    </row>
    <row r="635" ht="15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  <c r="AH635" s="118"/>
    </row>
    <row r="636" ht="15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  <c r="AH636" s="118"/>
    </row>
    <row r="637" ht="15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  <c r="AH637" s="118"/>
    </row>
    <row r="638" ht="15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  <c r="AH638" s="118"/>
    </row>
    <row r="639" ht="15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  <c r="AH639" s="118"/>
    </row>
    <row r="640" ht="15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  <c r="AH640" s="118"/>
    </row>
    <row r="641" ht="15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  <c r="AH641" s="118"/>
    </row>
    <row r="642" ht="15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  <c r="AH642" s="118"/>
    </row>
    <row r="643" ht="15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  <c r="AH643" s="118"/>
    </row>
    <row r="644" ht="15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  <c r="AH644" s="118"/>
    </row>
    <row r="645" ht="15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  <c r="AH645" s="118"/>
    </row>
    <row r="646" ht="15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  <c r="AH646" s="118"/>
    </row>
    <row r="647" ht="15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  <c r="AH647" s="118"/>
    </row>
    <row r="648" ht="15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  <c r="AH648" s="118"/>
    </row>
    <row r="649" ht="15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  <c r="AH649" s="118"/>
    </row>
    <row r="650" ht="15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  <c r="AH650" s="118"/>
    </row>
    <row r="651" ht="15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  <c r="AH651" s="118"/>
    </row>
    <row r="652" ht="15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  <c r="AH652" s="118"/>
    </row>
    <row r="653" ht="15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  <c r="AH653" s="118"/>
    </row>
    <row r="654" ht="15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  <c r="AH654" s="118"/>
    </row>
    <row r="655" ht="15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  <c r="AH655" s="118"/>
    </row>
    <row r="656" ht="15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  <c r="AH656" s="118"/>
    </row>
    <row r="657" ht="15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  <c r="AH657" s="118"/>
    </row>
    <row r="658" ht="15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  <c r="AH658" s="118"/>
    </row>
    <row r="659" ht="15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  <c r="AH659" s="118"/>
    </row>
    <row r="660" ht="15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  <c r="AH660" s="118"/>
    </row>
    <row r="661" ht="15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  <c r="AH661" s="118"/>
    </row>
    <row r="662" ht="15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  <c r="AH662" s="118"/>
    </row>
    <row r="663" ht="15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  <c r="AH663" s="118"/>
    </row>
    <row r="664" ht="15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  <c r="AH664" s="118"/>
    </row>
    <row r="665" ht="15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  <c r="AH665" s="118"/>
    </row>
    <row r="666" ht="15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  <c r="AH666" s="118"/>
    </row>
    <row r="667" ht="15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  <c r="AH667" s="118"/>
    </row>
    <row r="668" ht="15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  <c r="AH668" s="118"/>
    </row>
    <row r="669" ht="15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  <c r="AH669" s="118"/>
    </row>
    <row r="670" ht="15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  <c r="AH670" s="118"/>
    </row>
    <row r="671" ht="15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  <c r="AH671" s="118"/>
    </row>
    <row r="672" ht="15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  <c r="AH672" s="118"/>
    </row>
    <row r="673" ht="15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  <c r="AH673" s="118"/>
    </row>
    <row r="674" ht="15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  <c r="AH674" s="118"/>
    </row>
    <row r="675" ht="15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  <c r="AH675" s="118"/>
    </row>
    <row r="676" ht="15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  <c r="AH676" s="118"/>
    </row>
    <row r="677" ht="15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  <c r="AH677" s="118"/>
    </row>
    <row r="678" ht="15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  <c r="AH678" s="118"/>
    </row>
    <row r="679" ht="15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  <c r="AH679" s="118"/>
    </row>
    <row r="680" ht="15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  <c r="AH680" s="118"/>
    </row>
    <row r="681" ht="15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  <c r="AH681" s="118"/>
    </row>
    <row r="682" ht="15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  <c r="AH682" s="118"/>
    </row>
    <row r="683" ht="15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  <c r="AH683" s="118"/>
    </row>
    <row r="684" ht="15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  <c r="AH684" s="118"/>
    </row>
    <row r="685" ht="15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  <c r="AH685" s="118"/>
    </row>
    <row r="686" ht="15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  <c r="AH686" s="118"/>
    </row>
    <row r="687" ht="15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  <c r="AH687" s="118"/>
    </row>
    <row r="688" ht="15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  <c r="AH688" s="118"/>
    </row>
    <row r="689" ht="15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  <c r="AH689" s="118"/>
    </row>
    <row r="690" ht="15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  <c r="AH690" s="118"/>
    </row>
    <row r="691" ht="15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  <c r="AH691" s="118"/>
    </row>
    <row r="692" ht="15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  <c r="AH692" s="118"/>
    </row>
    <row r="693" ht="15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  <c r="AH693" s="118"/>
    </row>
    <row r="694" ht="15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  <c r="AH694" s="118"/>
    </row>
    <row r="695" ht="15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  <c r="AH695" s="118"/>
    </row>
    <row r="696" ht="15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  <c r="AH696" s="118"/>
    </row>
    <row r="697" ht="15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  <c r="AH697" s="118"/>
    </row>
    <row r="698" ht="15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  <c r="AH698" s="118"/>
    </row>
    <row r="699" ht="15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  <c r="AH699" s="118"/>
    </row>
    <row r="700" ht="15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  <c r="AH700" s="118"/>
    </row>
    <row r="701" ht="15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  <c r="AH701" s="118"/>
    </row>
    <row r="702" ht="15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  <c r="AH702" s="118"/>
    </row>
    <row r="703" ht="15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  <c r="AH703" s="118"/>
    </row>
    <row r="704" ht="15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  <c r="AH704" s="118"/>
    </row>
    <row r="705" ht="15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  <c r="AH705" s="118"/>
    </row>
    <row r="706" ht="15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  <c r="AH706" s="118"/>
    </row>
    <row r="707" ht="15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  <c r="AH707" s="118"/>
    </row>
    <row r="708" ht="15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  <c r="AH708" s="118"/>
    </row>
    <row r="709" ht="15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  <c r="AH709" s="118"/>
    </row>
    <row r="710" ht="15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  <c r="AH710" s="118"/>
    </row>
    <row r="711" ht="15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  <c r="AH711" s="118"/>
    </row>
    <row r="712" ht="15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  <c r="AH712" s="118"/>
    </row>
    <row r="713" ht="15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  <c r="AH713" s="118"/>
    </row>
    <row r="714" ht="15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  <c r="AH714" s="118"/>
    </row>
    <row r="715" ht="15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  <c r="AH715" s="118"/>
    </row>
    <row r="716" ht="15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  <c r="AH716" s="118"/>
    </row>
    <row r="717" ht="15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  <c r="AH717" s="118"/>
    </row>
    <row r="718" ht="15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  <c r="AH718" s="118"/>
    </row>
    <row r="719" ht="15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  <c r="AH719" s="118"/>
    </row>
    <row r="720" ht="15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  <c r="AH720" s="118"/>
    </row>
    <row r="721" ht="15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  <c r="AH721" s="118"/>
    </row>
    <row r="722" ht="15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  <c r="AH722" s="118"/>
    </row>
    <row r="723" ht="15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  <c r="AH723" s="118"/>
    </row>
    <row r="724" ht="15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  <c r="AH724" s="118"/>
    </row>
    <row r="725" ht="15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  <c r="AH725" s="118"/>
    </row>
    <row r="726" ht="15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  <c r="AH726" s="118"/>
    </row>
    <row r="727" ht="15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  <c r="AH727" s="118"/>
    </row>
    <row r="728" ht="15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  <c r="AH728" s="118"/>
    </row>
    <row r="729" ht="15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  <c r="AH729" s="118"/>
    </row>
    <row r="730" ht="15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  <c r="AH730" s="118"/>
    </row>
    <row r="731" ht="15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  <c r="AH731" s="118"/>
    </row>
    <row r="732" ht="15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  <c r="AH732" s="118"/>
    </row>
    <row r="733" ht="15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  <c r="AH733" s="118"/>
    </row>
    <row r="734" ht="15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  <c r="AH734" s="118"/>
    </row>
    <row r="735" ht="15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  <c r="AH735" s="118"/>
    </row>
    <row r="736" ht="15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  <c r="AH736" s="118"/>
    </row>
    <row r="737" ht="15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  <c r="AH737" s="118"/>
    </row>
    <row r="738" ht="15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  <c r="AH738" s="118"/>
    </row>
    <row r="739" ht="15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  <c r="AH739" s="118"/>
    </row>
    <row r="740" ht="15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  <c r="AH740" s="118"/>
    </row>
    <row r="741" ht="15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  <c r="AH741" s="118"/>
    </row>
    <row r="742" ht="15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  <c r="AH742" s="118"/>
    </row>
    <row r="743" ht="15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  <c r="AH743" s="118"/>
    </row>
    <row r="744" ht="15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  <c r="AH744" s="118"/>
    </row>
    <row r="745" ht="15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  <c r="AH745" s="118"/>
    </row>
    <row r="746" ht="15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  <c r="AH746" s="118"/>
    </row>
    <row r="747" ht="15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  <c r="AH747" s="118"/>
    </row>
    <row r="748" ht="15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  <c r="AH748" s="118"/>
    </row>
    <row r="749" ht="15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  <c r="AH749" s="118"/>
    </row>
    <row r="750" ht="15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  <c r="AH750" s="118"/>
    </row>
    <row r="751" ht="15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  <c r="AH751" s="118"/>
    </row>
    <row r="752" ht="15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  <c r="AH752" s="118"/>
    </row>
    <row r="753" ht="15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  <c r="AH753" s="118"/>
    </row>
    <row r="754" ht="15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  <c r="AH754" s="118"/>
    </row>
    <row r="755" ht="15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  <c r="AH755" s="118"/>
    </row>
    <row r="756" ht="15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  <c r="AH756" s="118"/>
    </row>
    <row r="757" ht="15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  <c r="AH757" s="118"/>
    </row>
    <row r="758" ht="15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  <c r="AH758" s="118"/>
    </row>
    <row r="759" ht="15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  <c r="AH759" s="118"/>
    </row>
    <row r="760" ht="15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  <c r="AH760" s="118"/>
    </row>
    <row r="761" ht="15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  <c r="AH761" s="118"/>
    </row>
    <row r="762" ht="15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  <c r="AH762" s="118"/>
    </row>
    <row r="763" ht="15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  <c r="AH763" s="118"/>
    </row>
    <row r="764" ht="15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  <c r="AH764" s="118"/>
    </row>
    <row r="765" ht="15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  <c r="AH765" s="118"/>
    </row>
    <row r="766" ht="15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  <c r="AH766" s="118"/>
    </row>
    <row r="767" ht="15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  <c r="AH767" s="118"/>
    </row>
    <row r="768" ht="15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  <c r="AH768" s="118"/>
    </row>
    <row r="769" ht="15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  <c r="AH769" s="118"/>
    </row>
    <row r="770" ht="15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  <c r="AH770" s="118"/>
    </row>
    <row r="771" ht="15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  <c r="AH771" s="118"/>
    </row>
    <row r="772" ht="15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  <c r="AH772" s="118"/>
    </row>
    <row r="773" ht="15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  <c r="AH773" s="118"/>
    </row>
    <row r="774" ht="15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  <c r="AH774" s="118"/>
    </row>
    <row r="775" ht="15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  <c r="AH775" s="118"/>
    </row>
    <row r="776" ht="15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  <c r="AH776" s="118"/>
    </row>
    <row r="777" ht="15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  <c r="AH777" s="118"/>
    </row>
    <row r="778" ht="15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  <c r="AH778" s="118"/>
    </row>
    <row r="779" ht="15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  <c r="AH779" s="118"/>
    </row>
    <row r="780" ht="15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  <c r="AH780" s="118"/>
    </row>
    <row r="781" ht="15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  <c r="AH781" s="118"/>
    </row>
    <row r="782" ht="15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  <c r="AH782" s="118"/>
    </row>
    <row r="783" ht="15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  <c r="AH783" s="118"/>
    </row>
    <row r="784" ht="15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  <c r="AH784" s="118"/>
    </row>
    <row r="785" ht="15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  <c r="AH785" s="118"/>
    </row>
    <row r="786" ht="15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  <c r="AH786" s="118"/>
    </row>
    <row r="787" ht="15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  <c r="AH787" s="118"/>
    </row>
    <row r="788" ht="15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  <c r="AH788" s="118"/>
    </row>
    <row r="789" ht="15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  <c r="AH789" s="118"/>
    </row>
    <row r="790" ht="15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  <c r="AH790" s="118"/>
    </row>
    <row r="791" ht="15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  <c r="AH791" s="118"/>
    </row>
    <row r="792" ht="15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  <c r="AH792" s="118"/>
    </row>
    <row r="793" ht="15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  <c r="AH793" s="118"/>
    </row>
    <row r="794" ht="15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  <c r="AH794" s="118"/>
    </row>
    <row r="795" ht="15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  <c r="AH795" s="118"/>
    </row>
    <row r="796" ht="15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  <c r="AH796" s="118"/>
    </row>
    <row r="797" ht="15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  <c r="AH797" s="118"/>
    </row>
    <row r="798" ht="15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  <c r="AH798" s="118"/>
    </row>
    <row r="799" ht="15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  <c r="AH799" s="118"/>
    </row>
    <row r="800" ht="15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  <c r="AH800" s="118"/>
    </row>
    <row r="801" ht="15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  <c r="AH801" s="118"/>
    </row>
    <row r="802" ht="15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  <c r="AH802" s="118"/>
    </row>
    <row r="803" ht="15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  <c r="AH803" s="118"/>
    </row>
    <row r="804" ht="15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  <c r="AH804" s="118"/>
    </row>
    <row r="805" ht="15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  <c r="AH805" s="118"/>
    </row>
    <row r="806" ht="15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  <c r="AH806" s="118"/>
    </row>
    <row r="807" ht="15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  <c r="AH807" s="118"/>
    </row>
    <row r="808" ht="15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  <c r="AH808" s="118"/>
    </row>
    <row r="809" ht="15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  <c r="AH809" s="118"/>
    </row>
    <row r="810" ht="15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  <c r="AH810" s="118"/>
    </row>
    <row r="811" ht="15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  <c r="AH811" s="118"/>
    </row>
    <row r="812" ht="15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  <c r="AH812" s="118"/>
    </row>
    <row r="813" ht="15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  <c r="AH813" s="118"/>
    </row>
    <row r="814" ht="15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  <c r="AH814" s="118"/>
    </row>
    <row r="815" ht="15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  <c r="AH815" s="118"/>
    </row>
    <row r="816" ht="15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  <c r="AH816" s="118"/>
    </row>
    <row r="817" ht="15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  <c r="AH817" s="118"/>
    </row>
    <row r="818" ht="15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  <c r="AH818" s="118"/>
    </row>
    <row r="819" ht="15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  <c r="AH819" s="118"/>
    </row>
    <row r="820" ht="15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  <c r="AH820" s="118"/>
    </row>
    <row r="821" ht="15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  <c r="AH821" s="118"/>
    </row>
    <row r="822" ht="15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  <c r="AH822" s="118"/>
    </row>
    <row r="823" ht="15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  <c r="AH823" s="118"/>
    </row>
    <row r="824" ht="15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  <c r="AH824" s="118"/>
    </row>
    <row r="825" ht="15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  <c r="AH825" s="118"/>
    </row>
    <row r="826" ht="15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  <c r="AH826" s="118"/>
    </row>
    <row r="827" ht="15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  <c r="AH827" s="118"/>
    </row>
    <row r="828" ht="15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  <c r="AH828" s="118"/>
    </row>
    <row r="829" ht="15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  <c r="AH829" s="118"/>
    </row>
    <row r="830" ht="15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  <c r="AH830" s="118"/>
    </row>
    <row r="831" ht="15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  <c r="AH831" s="118"/>
    </row>
    <row r="832" ht="15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  <c r="AH832" s="118"/>
    </row>
    <row r="833" ht="15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  <c r="AH833" s="118"/>
    </row>
    <row r="834" ht="15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  <c r="AH834" s="118"/>
    </row>
    <row r="835" ht="15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  <c r="AH835" s="118"/>
    </row>
    <row r="836" ht="15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  <c r="AH836" s="118"/>
    </row>
    <row r="837" ht="15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  <c r="AH837" s="118"/>
    </row>
    <row r="838" ht="15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  <c r="AH838" s="118"/>
    </row>
    <row r="839" ht="15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  <c r="AH839" s="118"/>
    </row>
    <row r="840" ht="15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  <c r="AH840" s="118"/>
    </row>
    <row r="841" ht="15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  <c r="AH841" s="118"/>
    </row>
    <row r="842" ht="15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  <c r="AH842" s="118"/>
    </row>
    <row r="843" ht="15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  <c r="AH843" s="118"/>
    </row>
    <row r="844" ht="15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  <c r="AH844" s="118"/>
    </row>
    <row r="845" ht="15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  <c r="AG845" s="118"/>
      <c r="AH845" s="118"/>
    </row>
    <row r="846" ht="15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  <c r="AG846" s="118"/>
      <c r="AH846" s="118"/>
    </row>
    <row r="847" ht="15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  <c r="AG847" s="118"/>
      <c r="AH847" s="118"/>
    </row>
    <row r="848" ht="15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  <c r="AG848" s="118"/>
      <c r="AH848" s="118"/>
    </row>
    <row r="849" ht="15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  <c r="AG849" s="118"/>
      <c r="AH849" s="118"/>
    </row>
    <row r="850" ht="15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  <c r="AG850" s="118"/>
      <c r="AH850" s="118"/>
    </row>
    <row r="851" ht="15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  <c r="AG851" s="118"/>
      <c r="AH851" s="118"/>
    </row>
    <row r="852" ht="15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  <c r="AG852" s="118"/>
      <c r="AH852" s="118"/>
    </row>
    <row r="853" ht="15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  <c r="AG853" s="118"/>
      <c r="AH853" s="118"/>
    </row>
    <row r="854" ht="15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  <c r="AG854" s="118"/>
      <c r="AH854" s="118"/>
    </row>
    <row r="855" ht="15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  <c r="AG855" s="118"/>
      <c r="AH855" s="118"/>
    </row>
    <row r="856" ht="15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  <c r="AH856" s="118"/>
    </row>
    <row r="857" ht="15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  <c r="AH857" s="118"/>
    </row>
    <row r="858" ht="15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  <c r="AH858" s="118"/>
    </row>
    <row r="859" ht="15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  <c r="AH859" s="118"/>
    </row>
    <row r="860" ht="15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  <c r="AH860" s="118"/>
    </row>
    <row r="861" ht="15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  <c r="AH861" s="118"/>
    </row>
    <row r="862" ht="15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  <c r="AH862" s="118"/>
    </row>
    <row r="863" ht="15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  <c r="AH863" s="118"/>
    </row>
    <row r="864" ht="15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  <c r="AH864" s="118"/>
    </row>
    <row r="865" ht="15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  <c r="AH865" s="118"/>
    </row>
    <row r="866" ht="15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  <c r="AH866" s="118"/>
    </row>
    <row r="867" ht="15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  <c r="AH867" s="118"/>
    </row>
    <row r="868" ht="15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  <c r="AH868" s="118"/>
    </row>
    <row r="869" ht="15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  <c r="AH869" s="118"/>
    </row>
    <row r="870" ht="15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  <c r="AH870" s="118"/>
    </row>
    <row r="871" ht="15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  <c r="AH871" s="118"/>
    </row>
    <row r="872" ht="15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  <c r="AH872" s="118"/>
    </row>
    <row r="873" ht="15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  <c r="AH873" s="118"/>
    </row>
    <row r="874" ht="15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  <c r="AH874" s="118"/>
    </row>
    <row r="875" ht="15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  <c r="AH875" s="118"/>
    </row>
    <row r="876" ht="15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  <c r="AH876" s="118"/>
    </row>
    <row r="877" ht="15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  <c r="AG877" s="118"/>
      <c r="AH877" s="118"/>
    </row>
    <row r="878" ht="15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  <c r="AG878" s="118"/>
      <c r="AH878" s="118"/>
    </row>
    <row r="879" ht="15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  <c r="AG879" s="118"/>
      <c r="AH879" s="118"/>
    </row>
    <row r="880" ht="15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  <c r="AG880" s="118"/>
      <c r="AH880" s="118"/>
    </row>
    <row r="881" ht="15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  <c r="AG881" s="118"/>
      <c r="AH881" s="118"/>
    </row>
    <row r="882" ht="15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  <c r="AG882" s="118"/>
      <c r="AH882" s="118"/>
    </row>
    <row r="883" ht="15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  <c r="AG883" s="118"/>
      <c r="AH883" s="118"/>
    </row>
    <row r="884" ht="15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  <c r="AG884" s="118"/>
      <c r="AH884" s="118"/>
    </row>
    <row r="885" ht="15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  <c r="AG885" s="118"/>
      <c r="AH885" s="118"/>
    </row>
    <row r="886" ht="15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  <c r="AG886" s="118"/>
      <c r="AH886" s="118"/>
    </row>
    <row r="887" ht="15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  <c r="AH887" s="118"/>
    </row>
    <row r="888" ht="15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  <c r="AG888" s="118"/>
      <c r="AH888" s="118"/>
    </row>
    <row r="889" ht="15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  <c r="AG889" s="118"/>
      <c r="AH889" s="118"/>
    </row>
    <row r="890" ht="15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  <c r="AG890" s="118"/>
      <c r="AH890" s="118"/>
    </row>
    <row r="891" ht="15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  <c r="AG891" s="118"/>
      <c r="AH891" s="118"/>
    </row>
    <row r="892" ht="15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  <c r="AG892" s="118"/>
      <c r="AH892" s="118"/>
    </row>
    <row r="893" ht="15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  <c r="AG893" s="118"/>
      <c r="AH893" s="118"/>
    </row>
    <row r="894" ht="15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  <c r="AG894" s="118"/>
      <c r="AH894" s="118"/>
    </row>
    <row r="895" ht="15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  <c r="AG895" s="118"/>
      <c r="AH895" s="118"/>
    </row>
    <row r="896" ht="15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  <c r="AG896" s="118"/>
      <c r="AH896" s="118"/>
    </row>
    <row r="897" ht="15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  <c r="AG897" s="118"/>
      <c r="AH897" s="118"/>
    </row>
    <row r="898" ht="15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  <c r="AG898" s="118"/>
      <c r="AH898" s="118"/>
    </row>
    <row r="899" ht="15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  <c r="AG899" s="118"/>
      <c r="AH899" s="118"/>
    </row>
    <row r="900" ht="15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  <c r="AG900" s="118"/>
      <c r="AH900" s="118"/>
    </row>
    <row r="901" ht="15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  <c r="AG901" s="118"/>
      <c r="AH901" s="118"/>
    </row>
    <row r="902" ht="15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  <c r="AG902" s="118"/>
      <c r="AH902" s="118"/>
    </row>
    <row r="903" ht="15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  <c r="AG903" s="118"/>
      <c r="AH903" s="118"/>
    </row>
    <row r="904" ht="15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  <c r="AG904" s="118"/>
      <c r="AH904" s="118"/>
    </row>
    <row r="905" ht="15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  <c r="AG905" s="118"/>
      <c r="AH905" s="118"/>
    </row>
    <row r="906" ht="15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  <c r="AG906" s="118"/>
      <c r="AH906" s="118"/>
    </row>
    <row r="907" ht="15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  <c r="AG907" s="118"/>
      <c r="AH907" s="118"/>
    </row>
    <row r="908" ht="15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  <c r="AG908" s="118"/>
      <c r="AH908" s="118"/>
    </row>
    <row r="909" ht="15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  <c r="AG909" s="118"/>
      <c r="AH909" s="118"/>
    </row>
    <row r="910" ht="15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  <c r="AG910" s="118"/>
      <c r="AH910" s="118"/>
    </row>
    <row r="911" ht="15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  <c r="AG911" s="118"/>
      <c r="AH911" s="118"/>
    </row>
    <row r="912" ht="15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  <c r="AG912" s="118"/>
      <c r="AH912" s="118"/>
    </row>
    <row r="913" ht="15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  <c r="AG913" s="118"/>
      <c r="AH913" s="118"/>
    </row>
    <row r="914" ht="15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  <c r="AG914" s="118"/>
      <c r="AH914" s="118"/>
    </row>
    <row r="915" ht="15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  <c r="AG915" s="118"/>
      <c r="AH915" s="118"/>
    </row>
    <row r="916" ht="15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  <c r="AG916" s="118"/>
      <c r="AH916" s="118"/>
    </row>
    <row r="917" ht="15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  <c r="AG917" s="118"/>
      <c r="AH917" s="118"/>
    </row>
    <row r="918" ht="15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  <c r="AG918" s="118"/>
      <c r="AH918" s="118"/>
    </row>
    <row r="919" ht="15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  <c r="AG919" s="118"/>
      <c r="AH919" s="118"/>
    </row>
    <row r="920" ht="15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  <c r="AG920" s="118"/>
      <c r="AH920" s="118"/>
    </row>
    <row r="921" ht="15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  <c r="AG921" s="118"/>
      <c r="AH921" s="118"/>
    </row>
    <row r="922" ht="15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  <c r="AG922" s="118"/>
      <c r="AH922" s="118"/>
    </row>
    <row r="923" ht="15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  <c r="AG923" s="118"/>
      <c r="AH923" s="118"/>
    </row>
    <row r="924" ht="15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  <c r="AG924" s="118"/>
      <c r="AH924" s="118"/>
    </row>
    <row r="925" ht="15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  <c r="AG925" s="118"/>
      <c r="AH925" s="118"/>
    </row>
    <row r="926" ht="15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  <c r="AG926" s="118"/>
      <c r="AH926" s="118"/>
    </row>
    <row r="927" ht="15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  <c r="AG927" s="118"/>
      <c r="AH927" s="118"/>
    </row>
    <row r="928" ht="15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  <c r="AF928" s="118"/>
      <c r="AG928" s="118"/>
      <c r="AH928" s="118"/>
    </row>
    <row r="929" ht="15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  <c r="AF929" s="118"/>
      <c r="AG929" s="118"/>
      <c r="AH929" s="118"/>
    </row>
    <row r="930" ht="15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  <c r="AF930" s="118"/>
      <c r="AG930" s="118"/>
      <c r="AH930" s="118"/>
    </row>
    <row r="931" ht="15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  <c r="AF931" s="118"/>
      <c r="AG931" s="118"/>
      <c r="AH931" s="118"/>
    </row>
    <row r="932" ht="15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  <c r="AF932" s="118"/>
      <c r="AG932" s="118"/>
      <c r="AH932" s="118"/>
    </row>
    <row r="933" ht="15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  <c r="AF933" s="118"/>
      <c r="AG933" s="118"/>
      <c r="AH933" s="118"/>
    </row>
    <row r="934" ht="15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  <c r="AF934" s="118"/>
      <c r="AG934" s="118"/>
      <c r="AH934" s="118"/>
    </row>
    <row r="935" ht="15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  <c r="AF935" s="118"/>
      <c r="AG935" s="118"/>
      <c r="AH935" s="118"/>
    </row>
    <row r="936" ht="15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  <c r="AF936" s="118"/>
      <c r="AG936" s="118"/>
      <c r="AH936" s="118"/>
    </row>
    <row r="937" ht="15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  <c r="AF937" s="118"/>
      <c r="AG937" s="118"/>
      <c r="AH937" s="118"/>
    </row>
    <row r="938" ht="15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  <c r="AF938" s="118"/>
      <c r="AG938" s="118"/>
      <c r="AH938" s="118"/>
    </row>
    <row r="939" ht="15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  <c r="AF939" s="118"/>
      <c r="AG939" s="118"/>
      <c r="AH939" s="118"/>
    </row>
    <row r="940" ht="15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  <c r="AF940" s="118"/>
      <c r="AG940" s="118"/>
      <c r="AH940" s="118"/>
    </row>
    <row r="941" ht="15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  <c r="AF941" s="118"/>
      <c r="AG941" s="118"/>
      <c r="AH941" s="118"/>
    </row>
    <row r="942" ht="15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  <c r="AF942" s="118"/>
      <c r="AG942" s="118"/>
      <c r="AH942" s="118"/>
    </row>
    <row r="943" ht="15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  <c r="AF943" s="118"/>
      <c r="AG943" s="118"/>
      <c r="AH943" s="118"/>
    </row>
    <row r="944" ht="15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  <c r="AG944" s="118"/>
      <c r="AH944" s="118"/>
    </row>
    <row r="945" ht="15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  <c r="AG945" s="118"/>
      <c r="AH945" s="118"/>
    </row>
    <row r="946" ht="15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  <c r="AG946" s="118"/>
      <c r="AH946" s="118"/>
    </row>
    <row r="947" ht="15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  <c r="AG947" s="118"/>
      <c r="AH947" s="118"/>
    </row>
    <row r="948" ht="15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  <c r="AG948" s="118"/>
      <c r="AH948" s="118"/>
    </row>
    <row r="949" ht="15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  <c r="AG949" s="118"/>
      <c r="AH949" s="118"/>
    </row>
    <row r="950" ht="15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  <c r="AG950" s="118"/>
      <c r="AH950" s="118"/>
    </row>
    <row r="951" ht="15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  <c r="AG951" s="118"/>
      <c r="AH951" s="118"/>
    </row>
    <row r="952" ht="15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  <c r="AG952" s="118"/>
      <c r="AH952" s="118"/>
    </row>
    <row r="953" ht="15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  <c r="AG953" s="118"/>
      <c r="AH953" s="118"/>
    </row>
    <row r="954" ht="15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  <c r="AG954" s="118"/>
      <c r="AH954" s="118"/>
    </row>
    <row r="955" ht="15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  <c r="AG955" s="118"/>
      <c r="AH955" s="118"/>
    </row>
    <row r="956" ht="15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  <c r="AG956" s="118"/>
      <c r="AH956" s="118"/>
    </row>
    <row r="957" ht="15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  <c r="AG957" s="118"/>
      <c r="AH957" s="118"/>
    </row>
    <row r="958" ht="15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  <c r="AG958" s="118"/>
      <c r="AH958" s="118"/>
    </row>
    <row r="959" ht="15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  <c r="AG959" s="118"/>
      <c r="AH959" s="118"/>
    </row>
    <row r="960" ht="15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  <c r="AG960" s="118"/>
      <c r="AH960" s="118"/>
    </row>
    <row r="961" ht="15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  <c r="AG961" s="118"/>
      <c r="AH961" s="118"/>
    </row>
    <row r="962" ht="15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  <c r="AG962" s="118"/>
      <c r="AH962" s="118"/>
    </row>
    <row r="963" ht="15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  <c r="AG963" s="118"/>
      <c r="AH963" s="118"/>
    </row>
    <row r="964" ht="15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  <c r="AG964" s="118"/>
      <c r="AH964" s="118"/>
    </row>
    <row r="965" ht="15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  <c r="AG965" s="118"/>
      <c r="AH965" s="118"/>
    </row>
    <row r="966" ht="15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  <c r="AG966" s="118"/>
      <c r="AH966" s="118"/>
    </row>
    <row r="967" ht="15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  <c r="AG967" s="118"/>
      <c r="AH967" s="118"/>
    </row>
    <row r="968" ht="15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  <c r="AG968" s="118"/>
      <c r="AH968" s="118"/>
    </row>
    <row r="969" ht="15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  <c r="AG969" s="118"/>
      <c r="AH969" s="118"/>
    </row>
    <row r="970" ht="15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  <c r="AG970" s="118"/>
      <c r="AH970" s="118"/>
    </row>
    <row r="971" ht="15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  <c r="AG971" s="118"/>
      <c r="AH971" s="118"/>
    </row>
    <row r="972" ht="15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  <c r="AG972" s="118"/>
      <c r="AH972" s="118"/>
    </row>
    <row r="973" ht="15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  <c r="AG973" s="118"/>
      <c r="AH973" s="118"/>
    </row>
    <row r="974" ht="15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  <c r="AG974" s="118"/>
      <c r="AH974" s="118"/>
    </row>
    <row r="975" ht="15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  <c r="AG975" s="118"/>
      <c r="AH975" s="118"/>
    </row>
    <row r="976" ht="15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  <c r="AG976" s="118"/>
      <c r="AH976" s="118"/>
    </row>
    <row r="977" ht="15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  <c r="AG977" s="118"/>
      <c r="AH977" s="118"/>
    </row>
    <row r="978" ht="15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  <c r="AG978" s="118"/>
      <c r="AH978" s="118"/>
    </row>
    <row r="979" ht="15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  <c r="AG979" s="118"/>
      <c r="AH979" s="118"/>
    </row>
    <row r="980" ht="15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  <c r="AG980" s="118"/>
      <c r="AH980" s="118"/>
    </row>
    <row r="981" ht="15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  <c r="AG981" s="118"/>
      <c r="AH981" s="118"/>
    </row>
    <row r="982" ht="15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  <c r="AG982" s="118"/>
      <c r="AH982" s="118"/>
    </row>
    <row r="983" ht="15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  <c r="AG983" s="118"/>
      <c r="AH983" s="118"/>
    </row>
    <row r="984" ht="15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  <c r="AG984" s="118"/>
      <c r="AH984" s="118"/>
    </row>
    <row r="985" ht="15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  <c r="AG985" s="118"/>
      <c r="AH985" s="118"/>
    </row>
    <row r="986" ht="15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  <c r="AG986" s="118"/>
      <c r="AH986" s="118"/>
    </row>
    <row r="987" ht="15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  <c r="AG987" s="118"/>
      <c r="AH987" s="118"/>
    </row>
    <row r="988" ht="15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  <c r="AG988" s="118"/>
      <c r="AH988" s="118"/>
    </row>
    <row r="989" ht="15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  <c r="AF989" s="118"/>
      <c r="AG989" s="118"/>
      <c r="AH989" s="118"/>
    </row>
    <row r="990" ht="15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  <c r="AG990" s="118"/>
      <c r="AH990" s="118"/>
    </row>
    <row r="991" ht="15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  <c r="AF991" s="118"/>
      <c r="AG991" s="118"/>
      <c r="AH991" s="118"/>
    </row>
    <row r="992" ht="15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  <c r="AF992" s="118"/>
      <c r="AG992" s="118"/>
      <c r="AH992" s="118"/>
    </row>
    <row r="993" ht="15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  <c r="AF993" s="118"/>
      <c r="AG993" s="118"/>
      <c r="AH993" s="118"/>
    </row>
    <row r="994" ht="15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  <c r="AF994" s="118"/>
      <c r="AG994" s="118"/>
      <c r="AH994" s="118"/>
    </row>
    <row r="995" ht="15.7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  <c r="AF995" s="118"/>
      <c r="AG995" s="118"/>
      <c r="AH995" s="118"/>
    </row>
    <row r="996" ht="15.7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  <c r="AF996" s="118"/>
      <c r="AG996" s="118"/>
      <c r="AH996" s="118"/>
    </row>
    <row r="997" ht="15.7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  <c r="AF997" s="118"/>
      <c r="AG997" s="118"/>
      <c r="AH997" s="118"/>
    </row>
    <row r="998" ht="15.7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  <c r="AF998" s="118"/>
      <c r="AG998" s="118"/>
      <c r="AH998" s="118"/>
    </row>
  </sheetData>
  <mergeCells count="24">
    <mergeCell ref="B1:J1"/>
    <mergeCell ref="K1:M1"/>
    <mergeCell ref="S2:T2"/>
    <mergeCell ref="S3:T3"/>
    <mergeCell ref="S4:T4"/>
    <mergeCell ref="S5:T5"/>
    <mergeCell ref="S6:T6"/>
    <mergeCell ref="S7:T7"/>
    <mergeCell ref="S9:T9"/>
    <mergeCell ref="S11:T11"/>
    <mergeCell ref="S14:T14"/>
    <mergeCell ref="S15:T15"/>
    <mergeCell ref="S16:T16"/>
    <mergeCell ref="S17:T17"/>
    <mergeCell ref="S25:T25"/>
    <mergeCell ref="S26:T26"/>
    <mergeCell ref="S27:T27"/>
    <mergeCell ref="S18:T18"/>
    <mergeCell ref="S19:T19"/>
    <mergeCell ref="S20:T20"/>
    <mergeCell ref="S21:T21"/>
    <mergeCell ref="S22:T22"/>
    <mergeCell ref="R23:T23"/>
    <mergeCell ref="S24:T24"/>
  </mergeCells>
  <printOptions horizontalCentered="1"/>
  <pageMargins bottom="0.75" footer="0.0" header="0.0" left="0.7" right="0.7" top="0.75"/>
  <pageSetup scale="90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2.14"/>
    <col customWidth="1" min="2" max="2" width="14.71"/>
    <col customWidth="1" min="3" max="3" width="21.57"/>
    <col customWidth="1" min="4" max="4" width="13.29"/>
    <col customWidth="1" min="5" max="5" width="7.43"/>
    <col customWidth="1" min="6" max="6" width="13.29"/>
    <col customWidth="1" min="7" max="7" width="13.86"/>
    <col customWidth="1" min="8" max="8" width="5.86"/>
    <col customWidth="1" min="9" max="9" width="12.86"/>
    <col customWidth="1" min="10" max="10" width="8.57"/>
    <col customWidth="1" min="11" max="11" width="6.86"/>
    <col customWidth="1" min="12" max="12" width="8.57"/>
    <col customWidth="1" min="13" max="13" width="28.29"/>
    <col customWidth="1" min="14" max="14" width="16.14"/>
    <col customWidth="1" min="15" max="15" width="8.86"/>
    <col customWidth="1" min="16" max="16" width="11.43"/>
    <col customWidth="1" min="17" max="30" width="8.86"/>
  </cols>
  <sheetData>
    <row r="1" ht="40.5" customHeight="1">
      <c r="A1" s="205"/>
      <c r="B1" s="2" t="s">
        <v>386</v>
      </c>
      <c r="C1" s="3"/>
      <c r="D1" s="3"/>
      <c r="E1" s="3"/>
      <c r="F1" s="3"/>
      <c r="G1" s="3"/>
      <c r="H1" s="3"/>
      <c r="I1" s="4"/>
      <c r="J1" s="5" t="s">
        <v>1</v>
      </c>
      <c r="K1" s="3"/>
      <c r="L1" s="4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</row>
    <row r="2" ht="34.5" customHeight="1">
      <c r="A2" s="206" t="s">
        <v>387</v>
      </c>
      <c r="B2" s="207" t="s">
        <v>3</v>
      </c>
      <c r="C2" s="11" t="s">
        <v>5</v>
      </c>
      <c r="D2" s="11" t="s">
        <v>6</v>
      </c>
      <c r="E2" s="11" t="s">
        <v>7</v>
      </c>
      <c r="F2" s="11" t="s">
        <v>8</v>
      </c>
      <c r="G2" s="11" t="s">
        <v>9</v>
      </c>
      <c r="H2" s="11" t="s">
        <v>10</v>
      </c>
      <c r="I2" s="11" t="s">
        <v>11</v>
      </c>
      <c r="J2" s="13" t="s">
        <v>12</v>
      </c>
      <c r="K2" s="13" t="s">
        <v>13</v>
      </c>
      <c r="L2" s="13" t="s">
        <v>14</v>
      </c>
      <c r="M2" s="118"/>
      <c r="N2" s="123" t="s">
        <v>17</v>
      </c>
      <c r="O2" s="124" t="s">
        <v>18</v>
      </c>
      <c r="P2" s="53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</row>
    <row r="3" outlineLevel="1">
      <c r="A3" s="35" t="s">
        <v>388</v>
      </c>
      <c r="B3" s="125" t="s">
        <v>389</v>
      </c>
      <c r="C3" s="125" t="s">
        <v>390</v>
      </c>
      <c r="D3" s="125">
        <v>4.0</v>
      </c>
      <c r="E3" s="125">
        <v>2.0</v>
      </c>
      <c r="F3" s="125" t="s">
        <v>128</v>
      </c>
      <c r="G3" s="125" t="s">
        <v>31</v>
      </c>
      <c r="H3" s="125" t="s">
        <v>31</v>
      </c>
      <c r="I3" s="208">
        <v>45818.0</v>
      </c>
      <c r="J3" s="19" t="b">
        <v>1</v>
      </c>
      <c r="K3" s="19" t="b">
        <v>0</v>
      </c>
      <c r="L3" s="19" t="b">
        <v>0</v>
      </c>
      <c r="M3" s="118"/>
      <c r="N3" s="125" t="s">
        <v>27</v>
      </c>
      <c r="O3" s="127" t="s">
        <v>28</v>
      </c>
      <c r="P3" s="33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</row>
    <row r="4" outlineLevel="1">
      <c r="A4" s="35" t="s">
        <v>388</v>
      </c>
      <c r="B4" s="34" t="s">
        <v>391</v>
      </c>
      <c r="C4" s="34" t="s">
        <v>390</v>
      </c>
      <c r="D4" s="34">
        <v>1.5</v>
      </c>
      <c r="E4" s="34">
        <v>1.0</v>
      </c>
      <c r="F4" s="34" t="s">
        <v>128</v>
      </c>
      <c r="G4" s="34"/>
      <c r="H4" s="34" t="s">
        <v>31</v>
      </c>
      <c r="I4" s="149">
        <v>45891.0</v>
      </c>
      <c r="J4" s="19" t="b">
        <v>0</v>
      </c>
      <c r="K4" s="19" t="b">
        <v>0</v>
      </c>
      <c r="L4" s="19" t="b">
        <v>0</v>
      </c>
      <c r="M4" s="118"/>
      <c r="N4" s="34" t="s">
        <v>128</v>
      </c>
      <c r="O4" s="129" t="s">
        <v>141</v>
      </c>
      <c r="P4" s="39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</row>
    <row r="5" outlineLevel="1">
      <c r="A5" s="35" t="s">
        <v>392</v>
      </c>
      <c r="B5" s="34" t="s">
        <v>393</v>
      </c>
      <c r="C5" s="34" t="s">
        <v>390</v>
      </c>
      <c r="D5" s="34">
        <v>1.5</v>
      </c>
      <c r="E5" s="34">
        <v>1.0</v>
      </c>
      <c r="F5" s="34" t="s">
        <v>128</v>
      </c>
      <c r="G5" s="34" t="s">
        <v>31</v>
      </c>
      <c r="H5" s="34" t="s">
        <v>31</v>
      </c>
      <c r="I5" s="40" t="s">
        <v>394</v>
      </c>
      <c r="J5" s="19" t="b">
        <v>0</v>
      </c>
      <c r="K5" s="19" t="b">
        <v>0</v>
      </c>
      <c r="L5" s="19" t="b">
        <v>0</v>
      </c>
      <c r="M5" s="118"/>
      <c r="N5" s="34" t="s">
        <v>34</v>
      </c>
      <c r="O5" s="129" t="s">
        <v>35</v>
      </c>
      <c r="P5" s="39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</row>
    <row r="6" outlineLevel="1">
      <c r="A6" s="35" t="s">
        <v>392</v>
      </c>
      <c r="B6" s="34" t="s">
        <v>137</v>
      </c>
      <c r="C6" s="34" t="s">
        <v>390</v>
      </c>
      <c r="D6" s="34">
        <v>1.5</v>
      </c>
      <c r="E6" s="34">
        <v>1.0</v>
      </c>
      <c r="F6" s="34" t="s">
        <v>128</v>
      </c>
      <c r="G6" s="34" t="s">
        <v>31</v>
      </c>
      <c r="H6" s="34" t="s">
        <v>31</v>
      </c>
      <c r="I6" s="149">
        <v>45937.0</v>
      </c>
      <c r="J6" s="19" t="b">
        <v>1</v>
      </c>
      <c r="K6" s="19" t="b">
        <v>0</v>
      </c>
      <c r="L6" s="19" t="b">
        <v>0</v>
      </c>
      <c r="M6" s="118"/>
      <c r="N6" s="34" t="s">
        <v>39</v>
      </c>
      <c r="O6" s="129" t="s">
        <v>40</v>
      </c>
      <c r="P6" s="39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</row>
    <row r="7" outlineLevel="1">
      <c r="A7" s="35" t="s">
        <v>392</v>
      </c>
      <c r="B7" s="34" t="s">
        <v>142</v>
      </c>
      <c r="C7" s="35" t="s">
        <v>395</v>
      </c>
      <c r="D7" s="34">
        <v>3.0</v>
      </c>
      <c r="E7" s="34">
        <v>2.0</v>
      </c>
      <c r="F7" s="34" t="s">
        <v>128</v>
      </c>
      <c r="G7" s="34" t="s">
        <v>31</v>
      </c>
      <c r="H7" s="34" t="s">
        <v>31</v>
      </c>
      <c r="I7" s="105" t="s">
        <v>396</v>
      </c>
      <c r="J7" s="19" t="b">
        <v>0</v>
      </c>
      <c r="K7" s="19" t="b">
        <v>0</v>
      </c>
      <c r="L7" s="19" t="b">
        <v>0</v>
      </c>
      <c r="M7" s="118"/>
      <c r="N7" s="34" t="s">
        <v>42</v>
      </c>
      <c r="O7" s="129" t="s">
        <v>43</v>
      </c>
      <c r="P7" s="39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</row>
    <row r="8" outlineLevel="1">
      <c r="A8" s="35" t="s">
        <v>388</v>
      </c>
      <c r="B8" s="34" t="s">
        <v>29</v>
      </c>
      <c r="C8" s="34" t="s">
        <v>390</v>
      </c>
      <c r="D8" s="34">
        <v>3.0</v>
      </c>
      <c r="E8" s="34">
        <v>2.0</v>
      </c>
      <c r="F8" s="34" t="s">
        <v>128</v>
      </c>
      <c r="G8" s="34" t="s">
        <v>23</v>
      </c>
      <c r="H8" s="34" t="s">
        <v>31</v>
      </c>
      <c r="I8" s="149">
        <v>45881.0</v>
      </c>
      <c r="J8" s="19" t="b">
        <v>1</v>
      </c>
      <c r="K8" s="19" t="b">
        <v>0</v>
      </c>
      <c r="L8" s="19" t="b">
        <v>0</v>
      </c>
      <c r="M8" s="118"/>
      <c r="N8" s="50" t="s">
        <v>47</v>
      </c>
      <c r="O8" s="51" t="s">
        <v>48</v>
      </c>
      <c r="P8" s="39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</row>
    <row r="9" outlineLevel="1">
      <c r="A9" s="35" t="s">
        <v>388</v>
      </c>
      <c r="B9" s="34" t="s">
        <v>397</v>
      </c>
      <c r="C9" s="34" t="s">
        <v>390</v>
      </c>
      <c r="D9" s="34">
        <v>2.0</v>
      </c>
      <c r="E9" s="34">
        <v>2.0</v>
      </c>
      <c r="F9" s="34" t="s">
        <v>128</v>
      </c>
      <c r="G9" s="34" t="s">
        <v>31</v>
      </c>
      <c r="H9" s="34" t="s">
        <v>31</v>
      </c>
      <c r="I9" s="149">
        <v>45898.0</v>
      </c>
      <c r="J9" s="19" t="b">
        <v>1</v>
      </c>
      <c r="K9" s="19" t="b">
        <v>0</v>
      </c>
      <c r="L9" s="19" t="b">
        <v>0</v>
      </c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</row>
    <row r="10" ht="15.75" customHeight="1" outlineLevel="1">
      <c r="A10" s="35" t="s">
        <v>388</v>
      </c>
      <c r="B10" s="34" t="s">
        <v>398</v>
      </c>
      <c r="C10" s="35" t="s">
        <v>399</v>
      </c>
      <c r="D10" s="35">
        <v>2.0</v>
      </c>
      <c r="E10" s="34">
        <v>2.0</v>
      </c>
      <c r="F10" s="34" t="s">
        <v>226</v>
      </c>
      <c r="G10" s="34" t="s">
        <v>31</v>
      </c>
      <c r="H10" s="34" t="s">
        <v>31</v>
      </c>
      <c r="I10" s="165" t="s">
        <v>400</v>
      </c>
      <c r="J10" s="19" t="b">
        <v>0</v>
      </c>
      <c r="K10" s="19" t="b">
        <v>0</v>
      </c>
      <c r="L10" s="19" t="b">
        <v>0</v>
      </c>
      <c r="M10" s="118"/>
      <c r="N10" s="16" t="s">
        <v>154</v>
      </c>
      <c r="O10" s="17" t="s">
        <v>52</v>
      </c>
      <c r="P10" s="53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</row>
    <row r="11" ht="15.0" customHeight="1" outlineLevel="1">
      <c r="A11" s="35" t="s">
        <v>388</v>
      </c>
      <c r="B11" s="34" t="s">
        <v>401</v>
      </c>
      <c r="C11" s="35" t="s">
        <v>399</v>
      </c>
      <c r="D11" s="34">
        <v>1.5</v>
      </c>
      <c r="E11" s="34">
        <v>2.0</v>
      </c>
      <c r="F11" s="34" t="s">
        <v>128</v>
      </c>
      <c r="G11" s="34" t="s">
        <v>23</v>
      </c>
      <c r="H11" s="34" t="s">
        <v>31</v>
      </c>
      <c r="I11" s="209">
        <v>45681.0</v>
      </c>
      <c r="J11" s="19" t="b">
        <v>0</v>
      </c>
      <c r="K11" s="19" t="b">
        <v>0</v>
      </c>
      <c r="L11" s="19" t="b">
        <v>0</v>
      </c>
      <c r="M11" s="118"/>
      <c r="N11" s="60" t="s">
        <v>57</v>
      </c>
      <c r="O11" s="61" t="s">
        <v>58</v>
      </c>
      <c r="P11" s="33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</row>
    <row r="12" ht="15.0" customHeight="1" outlineLevel="1">
      <c r="A12" s="35" t="s">
        <v>388</v>
      </c>
      <c r="B12" s="34" t="s">
        <v>44</v>
      </c>
      <c r="C12" s="34" t="s">
        <v>390</v>
      </c>
      <c r="D12" s="34">
        <v>3.0</v>
      </c>
      <c r="E12" s="34">
        <v>2.0</v>
      </c>
      <c r="F12" s="34" t="s">
        <v>128</v>
      </c>
      <c r="G12" s="34" t="s">
        <v>31</v>
      </c>
      <c r="H12" s="34" t="s">
        <v>23</v>
      </c>
      <c r="I12" s="40" t="s">
        <v>402</v>
      </c>
      <c r="J12" s="19" t="b">
        <v>1</v>
      </c>
      <c r="K12" s="19" t="b">
        <v>0</v>
      </c>
      <c r="L12" s="19" t="b">
        <v>0</v>
      </c>
      <c r="M12" s="118"/>
      <c r="N12" s="135" t="s">
        <v>334</v>
      </c>
      <c r="O12" s="75" t="s">
        <v>335</v>
      </c>
      <c r="P12" s="39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</row>
    <row r="13" ht="46.5" customHeight="1" outlineLevel="1">
      <c r="A13" s="35" t="s">
        <v>388</v>
      </c>
      <c r="B13" s="34" t="s">
        <v>331</v>
      </c>
      <c r="C13" s="35" t="s">
        <v>403</v>
      </c>
      <c r="D13" s="34">
        <v>3.0</v>
      </c>
      <c r="E13" s="34">
        <v>2.0</v>
      </c>
      <c r="F13" s="34" t="s">
        <v>226</v>
      </c>
      <c r="G13" s="34" t="s">
        <v>31</v>
      </c>
      <c r="H13" s="34" t="s">
        <v>31</v>
      </c>
      <c r="I13" s="165" t="s">
        <v>404</v>
      </c>
      <c r="J13" s="19" t="b">
        <v>0</v>
      </c>
      <c r="K13" s="19" t="b">
        <v>0</v>
      </c>
      <c r="L13" s="19" t="b">
        <v>0</v>
      </c>
      <c r="M13" s="210" t="s">
        <v>405</v>
      </c>
      <c r="N13" s="65" t="s">
        <v>62</v>
      </c>
      <c r="O13" s="66" t="s">
        <v>58</v>
      </c>
      <c r="P13" s="33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</row>
    <row r="14" outlineLevel="1">
      <c r="A14" s="35" t="s">
        <v>388</v>
      </c>
      <c r="B14" s="34" t="s">
        <v>406</v>
      </c>
      <c r="C14" s="35" t="s">
        <v>390</v>
      </c>
      <c r="D14" s="35">
        <v>2.5</v>
      </c>
      <c r="E14" s="34">
        <v>2.0</v>
      </c>
      <c r="F14" s="34" t="s">
        <v>226</v>
      </c>
      <c r="G14" s="34" t="s">
        <v>23</v>
      </c>
      <c r="H14" s="34" t="s">
        <v>31</v>
      </c>
      <c r="I14" s="149">
        <v>45898.0</v>
      </c>
      <c r="J14" s="19" t="b">
        <v>1</v>
      </c>
      <c r="K14" s="19" t="b">
        <v>0</v>
      </c>
      <c r="L14" s="19" t="b">
        <v>0</v>
      </c>
      <c r="M14" s="118"/>
      <c r="N14" s="65" t="s">
        <v>66</v>
      </c>
      <c r="O14" s="69" t="s">
        <v>67</v>
      </c>
      <c r="P14" s="39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</row>
    <row r="15" outlineLevel="1">
      <c r="A15" s="35" t="s">
        <v>51</v>
      </c>
      <c r="B15" s="140" t="s">
        <v>407</v>
      </c>
      <c r="C15" s="140" t="s">
        <v>390</v>
      </c>
      <c r="D15" s="140">
        <v>2.0</v>
      </c>
      <c r="E15" s="140">
        <v>2.0</v>
      </c>
      <c r="F15" s="140" t="s">
        <v>128</v>
      </c>
      <c r="G15" s="140" t="s">
        <v>23</v>
      </c>
      <c r="H15" s="140" t="s">
        <v>31</v>
      </c>
      <c r="I15" s="211" t="s">
        <v>46</v>
      </c>
      <c r="J15" s="106" t="b">
        <v>0</v>
      </c>
      <c r="K15" s="106" t="b">
        <v>0</v>
      </c>
      <c r="L15" s="106" t="b">
        <v>0</v>
      </c>
      <c r="M15" s="118"/>
      <c r="N15" s="192" t="s">
        <v>343</v>
      </c>
      <c r="O15" s="193" t="s">
        <v>58</v>
      </c>
      <c r="P15" s="39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</row>
    <row r="16" ht="15.0" customHeight="1" outlineLevel="1">
      <c r="A16" s="35" t="s">
        <v>388</v>
      </c>
      <c r="B16" s="34" t="s">
        <v>408</v>
      </c>
      <c r="C16" s="34" t="s">
        <v>390</v>
      </c>
      <c r="D16" s="34">
        <v>1.5</v>
      </c>
      <c r="E16" s="34">
        <v>1.0</v>
      </c>
      <c r="F16" s="34" t="s">
        <v>128</v>
      </c>
      <c r="G16" s="34" t="s">
        <v>23</v>
      </c>
      <c r="H16" s="34" t="s">
        <v>31</v>
      </c>
      <c r="I16" s="149">
        <v>45881.0</v>
      </c>
      <c r="J16" s="19" t="b">
        <v>1</v>
      </c>
      <c r="K16" s="19" t="b">
        <v>0</v>
      </c>
      <c r="L16" s="19" t="b">
        <v>0</v>
      </c>
      <c r="M16" s="118"/>
      <c r="N16" s="65" t="s">
        <v>345</v>
      </c>
      <c r="O16" s="193" t="s">
        <v>346</v>
      </c>
      <c r="P16" s="39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</row>
    <row r="17" outlineLevel="1">
      <c r="A17" s="35" t="s">
        <v>392</v>
      </c>
      <c r="B17" s="34" t="s">
        <v>242</v>
      </c>
      <c r="C17" s="34" t="s">
        <v>390</v>
      </c>
      <c r="D17" s="34">
        <v>1.5</v>
      </c>
      <c r="E17" s="34">
        <v>1.0</v>
      </c>
      <c r="F17" s="34" t="s">
        <v>128</v>
      </c>
      <c r="G17" s="34" t="s">
        <v>23</v>
      </c>
      <c r="H17" s="34" t="s">
        <v>31</v>
      </c>
      <c r="I17" s="40" t="s">
        <v>409</v>
      </c>
      <c r="J17" s="19" t="b">
        <v>1</v>
      </c>
      <c r="K17" s="19" t="b">
        <v>0</v>
      </c>
      <c r="L17" s="19" t="b">
        <v>0</v>
      </c>
      <c r="M17" s="118"/>
      <c r="N17" s="65" t="s">
        <v>71</v>
      </c>
      <c r="O17" s="72" t="s">
        <v>58</v>
      </c>
      <c r="P17" s="39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</row>
    <row r="18" outlineLevel="1">
      <c r="A18" s="35" t="s">
        <v>388</v>
      </c>
      <c r="B18" s="34" t="s">
        <v>410</v>
      </c>
      <c r="C18" s="35" t="s">
        <v>399</v>
      </c>
      <c r="D18" s="34">
        <v>3.5</v>
      </c>
      <c r="E18" s="34">
        <v>1.0</v>
      </c>
      <c r="F18" s="34" t="s">
        <v>128</v>
      </c>
      <c r="G18" s="34" t="s">
        <v>31</v>
      </c>
      <c r="H18" s="34" t="s">
        <v>31</v>
      </c>
      <c r="I18" s="187" t="s">
        <v>411</v>
      </c>
      <c r="J18" s="19" t="b">
        <v>0</v>
      </c>
      <c r="K18" s="19" t="b">
        <v>0</v>
      </c>
      <c r="L18" s="19" t="b">
        <v>0</v>
      </c>
      <c r="M18" s="212" t="s">
        <v>412</v>
      </c>
      <c r="N18" s="135"/>
      <c r="O18" s="137"/>
      <c r="P18" s="39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</row>
    <row r="19" outlineLevel="1">
      <c r="A19" s="34"/>
      <c r="B19" s="140" t="s">
        <v>413</v>
      </c>
      <c r="C19" s="140" t="s">
        <v>390</v>
      </c>
      <c r="D19" s="140">
        <v>1.5</v>
      </c>
      <c r="E19" s="140">
        <v>1.0</v>
      </c>
      <c r="F19" s="140" t="s">
        <v>128</v>
      </c>
      <c r="G19" s="140" t="s">
        <v>31</v>
      </c>
      <c r="H19" s="140" t="s">
        <v>31</v>
      </c>
      <c r="I19" s="213" t="s">
        <v>46</v>
      </c>
      <c r="J19" s="106" t="b">
        <v>0</v>
      </c>
      <c r="K19" s="106" t="b">
        <v>0</v>
      </c>
      <c r="L19" s="106" t="b">
        <v>0</v>
      </c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</row>
    <row r="20" outlineLevel="1">
      <c r="A20" s="35" t="s">
        <v>388</v>
      </c>
      <c r="B20" s="34" t="s">
        <v>414</v>
      </c>
      <c r="C20" s="35" t="s">
        <v>415</v>
      </c>
      <c r="D20" s="34">
        <v>4.0</v>
      </c>
      <c r="E20" s="35">
        <v>1.0</v>
      </c>
      <c r="F20" s="34" t="s">
        <v>320</v>
      </c>
      <c r="G20" s="34" t="s">
        <v>23</v>
      </c>
      <c r="H20" s="34" t="s">
        <v>23</v>
      </c>
      <c r="I20" s="149">
        <v>45757.0</v>
      </c>
      <c r="J20" s="19" t="b">
        <v>1</v>
      </c>
      <c r="K20" s="19" t="b">
        <v>0</v>
      </c>
      <c r="L20" s="19" t="b">
        <v>0</v>
      </c>
      <c r="M20" s="118"/>
      <c r="N20" s="77" t="s">
        <v>79</v>
      </c>
      <c r="O20" s="78"/>
      <c r="P20" s="79"/>
      <c r="R20" s="80" t="s">
        <v>80</v>
      </c>
      <c r="S20" s="73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</row>
    <row r="21" ht="15.75" customHeight="1" outlineLevel="1">
      <c r="A21" s="35" t="s">
        <v>388</v>
      </c>
      <c r="B21" s="34" t="s">
        <v>158</v>
      </c>
      <c r="C21" s="35" t="s">
        <v>395</v>
      </c>
      <c r="D21" s="34">
        <v>3.5</v>
      </c>
      <c r="E21" s="34">
        <v>2.0</v>
      </c>
      <c r="F21" s="34" t="s">
        <v>226</v>
      </c>
      <c r="G21" s="35" t="s">
        <v>23</v>
      </c>
      <c r="H21" s="34" t="s">
        <v>31</v>
      </c>
      <c r="I21" s="149">
        <v>45876.0</v>
      </c>
      <c r="J21" s="19" t="b">
        <v>1</v>
      </c>
      <c r="K21" s="19" t="b">
        <v>0</v>
      </c>
      <c r="L21" s="19" t="b">
        <v>1</v>
      </c>
      <c r="M21" s="118"/>
      <c r="N21" s="81" t="s">
        <v>83</v>
      </c>
      <c r="O21" s="82" t="s">
        <v>84</v>
      </c>
      <c r="P21" s="83"/>
      <c r="Q21" s="84" t="s">
        <v>85</v>
      </c>
      <c r="R21" s="85" t="s">
        <v>86</v>
      </c>
      <c r="S21" s="73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</row>
    <row r="22" ht="24.0" customHeight="1" outlineLevel="1">
      <c r="A22" s="35" t="s">
        <v>392</v>
      </c>
      <c r="B22" s="34" t="s">
        <v>161</v>
      </c>
      <c r="C22" s="35" t="s">
        <v>395</v>
      </c>
      <c r="D22" s="35">
        <v>5.0</v>
      </c>
      <c r="E22" s="34">
        <v>2.0</v>
      </c>
      <c r="F22" s="34" t="s">
        <v>226</v>
      </c>
      <c r="G22" s="34" t="s">
        <v>31</v>
      </c>
      <c r="H22" s="34" t="s">
        <v>31</v>
      </c>
      <c r="I22" s="105" t="s">
        <v>416</v>
      </c>
      <c r="J22" s="19" t="b">
        <v>0</v>
      </c>
      <c r="K22" s="19" t="b">
        <v>0</v>
      </c>
      <c r="L22" s="19" t="b">
        <v>0</v>
      </c>
      <c r="M22" s="118"/>
      <c r="N22" s="89" t="s">
        <v>90</v>
      </c>
      <c r="O22" s="82" t="s">
        <v>91</v>
      </c>
      <c r="P22" s="83"/>
      <c r="Q22" s="84" t="s">
        <v>85</v>
      </c>
      <c r="R22" s="85" t="s">
        <v>86</v>
      </c>
      <c r="S22" s="73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</row>
    <row r="23" ht="41.25" customHeight="1" outlineLevel="1">
      <c r="A23" s="35" t="s">
        <v>388</v>
      </c>
      <c r="B23" s="34" t="s">
        <v>417</v>
      </c>
      <c r="C23" s="34" t="s">
        <v>390</v>
      </c>
      <c r="D23" s="34">
        <v>2.0</v>
      </c>
      <c r="E23" s="34">
        <v>1.0</v>
      </c>
      <c r="F23" s="34" t="s">
        <v>128</v>
      </c>
      <c r="G23" s="34" t="s">
        <v>31</v>
      </c>
      <c r="H23" s="34" t="s">
        <v>31</v>
      </c>
      <c r="I23" s="214">
        <v>45869.0</v>
      </c>
      <c r="J23" s="19" t="b">
        <v>1</v>
      </c>
      <c r="K23" s="19" t="b">
        <v>0</v>
      </c>
      <c r="L23" s="19" t="b">
        <v>1</v>
      </c>
      <c r="M23" s="118"/>
      <c r="N23" s="91" t="s">
        <v>92</v>
      </c>
      <c r="O23" s="82" t="s">
        <v>93</v>
      </c>
      <c r="P23" s="83"/>
      <c r="Q23" s="84" t="s">
        <v>85</v>
      </c>
      <c r="R23" s="85" t="s">
        <v>94</v>
      </c>
      <c r="S23" s="73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</row>
    <row r="24" ht="29.25" customHeight="1" outlineLevel="1">
      <c r="A24" s="35" t="s">
        <v>388</v>
      </c>
      <c r="B24" s="34" t="s">
        <v>166</v>
      </c>
      <c r="C24" s="34" t="s">
        <v>390</v>
      </c>
      <c r="D24" s="34">
        <v>2.0</v>
      </c>
      <c r="E24" s="34">
        <v>1.0</v>
      </c>
      <c r="F24" s="34" t="s">
        <v>128</v>
      </c>
      <c r="G24" s="34" t="s">
        <v>31</v>
      </c>
      <c r="H24" s="34" t="s">
        <v>31</v>
      </c>
      <c r="I24" s="149">
        <v>45888.0</v>
      </c>
      <c r="J24" s="19" t="b">
        <v>1</v>
      </c>
      <c r="K24" s="19" t="b">
        <v>0</v>
      </c>
      <c r="L24" s="19" t="b">
        <v>0</v>
      </c>
      <c r="M24" s="118"/>
      <c r="N24" s="93" t="s">
        <v>97</v>
      </c>
      <c r="O24" s="94" t="s">
        <v>98</v>
      </c>
      <c r="P24" s="95"/>
      <c r="Q24" s="84" t="s">
        <v>85</v>
      </c>
      <c r="R24" s="85" t="s">
        <v>94</v>
      </c>
      <c r="S24" s="73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</row>
    <row r="25" ht="15.75" customHeight="1" outlineLevel="1">
      <c r="A25" s="35" t="s">
        <v>388</v>
      </c>
      <c r="B25" s="34" t="s">
        <v>76</v>
      </c>
      <c r="C25" s="34" t="s">
        <v>390</v>
      </c>
      <c r="D25" s="34">
        <v>2.0</v>
      </c>
      <c r="E25" s="34">
        <v>1.0</v>
      </c>
      <c r="F25" s="34" t="s">
        <v>128</v>
      </c>
      <c r="G25" s="34" t="s">
        <v>23</v>
      </c>
      <c r="H25" s="34" t="s">
        <v>31</v>
      </c>
      <c r="I25" s="149">
        <v>45880.0</v>
      </c>
      <c r="J25" s="19" t="b">
        <v>1</v>
      </c>
      <c r="K25" s="19" t="b">
        <v>0</v>
      </c>
      <c r="L25" s="19" t="b">
        <v>0</v>
      </c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</row>
    <row r="26" ht="15.75" customHeight="1" outlineLevel="1">
      <c r="A26" s="34"/>
      <c r="B26" s="140" t="s">
        <v>354</v>
      </c>
      <c r="C26" s="140" t="s">
        <v>390</v>
      </c>
      <c r="D26" s="140">
        <v>4.0</v>
      </c>
      <c r="E26" s="140">
        <v>1.0</v>
      </c>
      <c r="F26" s="140" t="s">
        <v>128</v>
      </c>
      <c r="G26" s="140" t="s">
        <v>31</v>
      </c>
      <c r="H26" s="140" t="s">
        <v>31</v>
      </c>
      <c r="I26" s="213" t="s">
        <v>46</v>
      </c>
      <c r="J26" s="106" t="b">
        <v>0</v>
      </c>
      <c r="K26" s="106" t="b">
        <v>0</v>
      </c>
      <c r="L26" s="106" t="b">
        <v>0</v>
      </c>
      <c r="M26" s="118"/>
      <c r="N26" s="201" t="s">
        <v>362</v>
      </c>
      <c r="O26" s="103">
        <f>(D3*E3)+(D4*E4)+(D5*E5)+(D6*E6)+(D7*E7)+(D8*E8)+(D9*E9)+(D10*E10)+(D11*E11)+(D12*E12)+(D13*E13)+(D14*E14)+(D15*E15)+(D16*E16)+(D17*E17)+(D18*E18)+(D19*E19)+(D20*E20)+(D21*E21)+(D22*E22)+(D23*E23)+(D24*E24)+(D25*E25)+(D26*E26)+(D27*E27)+(D28*E28)+(D29*E29)+(D30*E30)+(D31*E31)+(D32*E32)+(D33*E33)+(D34*E34)+(D35*E35)+(D36*E36)+(D37*E37)+(D38*E38)+(D39*E39)+(D40*E40)+(D41*E41)+(D42*E42)+(D43*E43)+(D44*E44)+(D45*E45)+(D46*E46)+(D47*E47)+(D48*E48)+(D49*E49)+(D50*E50)+(D51*E51)+(D52*E52)+(D53*E53)+(D54*E54)+(D55*E55)+(D56*E56)+(D57*E57)+(D58*E58)+(D59*E59)+(D60*E60)+(D61*E61)+(D62*E62)+(D63*E63)+(D64*E64)+(D65*E65)+(D66*E66)+(D67*E67)+(D68*E68)+(D69*E69)+(D70*E70)+(D71*E71)+(D72*E72)+(D73*E73)+(D74*E74)+(D75*E75)+(D76*E76)+(D77*E77)+(D78*E78)+(D79*E79)+(D80*E80)+(D81*E81)+(D82*E82)+(D83*E83)+(D84*E84)+(D85*E85)+(D86*E86)+(D87*E87)+(D88*E88)+(D89*E89)+(D90*E90)+(D91*E91)+(D92*E92)+(D93*E93)+(D94*E94)+(D95*E95)+(D96*E96)+(D97*E97)+(D98*E98)+(D99*E99)+(D100*E100)+(D101*E101)</f>
        <v>245.5</v>
      </c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</row>
    <row r="27" ht="15.75" customHeight="1" outlineLevel="1">
      <c r="A27" s="34"/>
      <c r="B27" s="140" t="s">
        <v>418</v>
      </c>
      <c r="C27" s="140" t="s">
        <v>390</v>
      </c>
      <c r="D27" s="140">
        <v>2.0</v>
      </c>
      <c r="E27" s="140">
        <v>1.0</v>
      </c>
      <c r="F27" s="140" t="s">
        <v>128</v>
      </c>
      <c r="G27" s="140" t="s">
        <v>23</v>
      </c>
      <c r="H27" s="140" t="s">
        <v>23</v>
      </c>
      <c r="I27" s="213" t="s">
        <v>46</v>
      </c>
      <c r="J27" s="106" t="b">
        <v>0</v>
      </c>
      <c r="K27" s="106" t="b">
        <v>0</v>
      </c>
      <c r="L27" s="106" t="b">
        <v>0</v>
      </c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</row>
    <row r="28" ht="15.75" customHeight="1" outlineLevel="1">
      <c r="A28" s="35" t="s">
        <v>392</v>
      </c>
      <c r="B28" s="34" t="s">
        <v>173</v>
      </c>
      <c r="C28" s="35" t="s">
        <v>395</v>
      </c>
      <c r="D28" s="34">
        <v>3.0</v>
      </c>
      <c r="E28" s="34">
        <v>2.0</v>
      </c>
      <c r="F28" s="34" t="s">
        <v>226</v>
      </c>
      <c r="G28" s="34" t="s">
        <v>23</v>
      </c>
      <c r="H28" s="34" t="s">
        <v>31</v>
      </c>
      <c r="I28" s="105" t="s">
        <v>419</v>
      </c>
      <c r="J28" s="19" t="b">
        <v>0</v>
      </c>
      <c r="K28" s="19" t="b">
        <v>0</v>
      </c>
      <c r="L28" s="19" t="b">
        <v>0</v>
      </c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</row>
    <row r="29" ht="15.75" customHeight="1" outlineLevel="1">
      <c r="A29" s="35" t="s">
        <v>388</v>
      </c>
      <c r="B29" s="34" t="s">
        <v>420</v>
      </c>
      <c r="C29" s="35" t="s">
        <v>399</v>
      </c>
      <c r="D29" s="34">
        <v>1.5</v>
      </c>
      <c r="E29" s="34">
        <v>1.0</v>
      </c>
      <c r="F29" s="34" t="s">
        <v>128</v>
      </c>
      <c r="G29" s="34" t="s">
        <v>23</v>
      </c>
      <c r="H29" s="34" t="s">
        <v>31</v>
      </c>
      <c r="I29" s="149">
        <v>45792.0</v>
      </c>
      <c r="J29" s="19" t="b">
        <v>0</v>
      </c>
      <c r="K29" s="19" t="b">
        <v>0</v>
      </c>
      <c r="L29" s="19" t="b">
        <v>0</v>
      </c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</row>
    <row r="30" ht="15.75" customHeight="1" outlineLevel="1">
      <c r="A30" s="86" t="s">
        <v>392</v>
      </c>
      <c r="B30" s="140" t="s">
        <v>421</v>
      </c>
      <c r="C30" s="140" t="s">
        <v>390</v>
      </c>
      <c r="D30" s="140">
        <v>2.0</v>
      </c>
      <c r="E30" s="140">
        <v>1.0</v>
      </c>
      <c r="F30" s="140" t="s">
        <v>128</v>
      </c>
      <c r="G30" s="140" t="s">
        <v>23</v>
      </c>
      <c r="H30" s="140" t="s">
        <v>23</v>
      </c>
      <c r="I30" s="215" t="s">
        <v>46</v>
      </c>
      <c r="J30" s="106" t="b">
        <v>0</v>
      </c>
      <c r="K30" s="106" t="b">
        <v>0</v>
      </c>
      <c r="L30" s="106" t="b">
        <v>0</v>
      </c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  <c r="AC30" s="175"/>
      <c r="AD30" s="175"/>
    </row>
    <row r="31" ht="15.75" customHeight="1" outlineLevel="1">
      <c r="A31" s="35" t="s">
        <v>388</v>
      </c>
      <c r="B31" s="34" t="s">
        <v>422</v>
      </c>
      <c r="C31" s="34" t="s">
        <v>390</v>
      </c>
      <c r="D31" s="34">
        <v>2.5</v>
      </c>
      <c r="E31" s="34">
        <v>1.0</v>
      </c>
      <c r="F31" s="34" t="s">
        <v>128</v>
      </c>
      <c r="G31" s="34" t="s">
        <v>31</v>
      </c>
      <c r="H31" s="34" t="s">
        <v>31</v>
      </c>
      <c r="I31" s="149">
        <v>45880.0</v>
      </c>
      <c r="J31" s="19" t="b">
        <v>1</v>
      </c>
      <c r="K31" s="19" t="b">
        <v>0</v>
      </c>
      <c r="L31" s="19" t="b">
        <v>0</v>
      </c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</row>
    <row r="32" ht="15.75" customHeight="1" outlineLevel="1">
      <c r="A32" s="35" t="s">
        <v>392</v>
      </c>
      <c r="B32" s="34" t="s">
        <v>423</v>
      </c>
      <c r="C32" s="34" t="s">
        <v>390</v>
      </c>
      <c r="D32" s="34">
        <v>2.0</v>
      </c>
      <c r="E32" s="34">
        <v>1.0</v>
      </c>
      <c r="F32" s="34" t="s">
        <v>128</v>
      </c>
      <c r="G32" s="34" t="s">
        <v>31</v>
      </c>
      <c r="H32" s="34" t="s">
        <v>31</v>
      </c>
      <c r="I32" s="216">
        <v>45434.0</v>
      </c>
      <c r="J32" s="19" t="b">
        <v>0</v>
      </c>
      <c r="K32" s="19" t="b">
        <v>0</v>
      </c>
      <c r="L32" s="19" t="b">
        <v>0</v>
      </c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</row>
    <row r="33" ht="15.75" customHeight="1" outlineLevel="1">
      <c r="A33" s="35" t="s">
        <v>392</v>
      </c>
      <c r="B33" s="34" t="s">
        <v>424</v>
      </c>
      <c r="C33" s="34" t="s">
        <v>390</v>
      </c>
      <c r="D33" s="34">
        <v>4.5</v>
      </c>
      <c r="E33" s="34">
        <v>2.0</v>
      </c>
      <c r="F33" s="34" t="s">
        <v>128</v>
      </c>
      <c r="G33" s="34" t="s">
        <v>31</v>
      </c>
      <c r="H33" s="34" t="s">
        <v>31</v>
      </c>
      <c r="I33" s="134">
        <v>45484.0</v>
      </c>
      <c r="J33" s="19" t="b">
        <v>0</v>
      </c>
      <c r="K33" s="19" t="b">
        <v>0</v>
      </c>
      <c r="L33" s="19" t="b">
        <v>0</v>
      </c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</row>
    <row r="34" ht="15.75" customHeight="1" outlineLevel="1">
      <c r="A34" s="35" t="s">
        <v>388</v>
      </c>
      <c r="B34" s="34" t="s">
        <v>95</v>
      </c>
      <c r="C34" s="34" t="s">
        <v>390</v>
      </c>
      <c r="D34" s="34">
        <v>4.0</v>
      </c>
      <c r="E34" s="34">
        <v>2.0</v>
      </c>
      <c r="F34" s="34" t="s">
        <v>128</v>
      </c>
      <c r="G34" s="34" t="s">
        <v>31</v>
      </c>
      <c r="H34" s="34" t="s">
        <v>31</v>
      </c>
      <c r="I34" s="128">
        <v>45758.0</v>
      </c>
      <c r="J34" s="19" t="b">
        <v>1</v>
      </c>
      <c r="K34" s="19" t="b">
        <v>1</v>
      </c>
      <c r="L34" s="19" t="b">
        <v>1</v>
      </c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</row>
    <row r="35" ht="15.75" customHeight="1" outlineLevel="1">
      <c r="A35" s="35" t="s">
        <v>388</v>
      </c>
      <c r="B35" s="34" t="s">
        <v>99</v>
      </c>
      <c r="C35" s="34" t="s">
        <v>390</v>
      </c>
      <c r="D35" s="34">
        <v>8.0</v>
      </c>
      <c r="E35" s="34">
        <v>2.0</v>
      </c>
      <c r="F35" s="34" t="s">
        <v>128</v>
      </c>
      <c r="G35" s="34" t="s">
        <v>31</v>
      </c>
      <c r="H35" s="34" t="s">
        <v>23</v>
      </c>
      <c r="I35" s="149">
        <v>45883.0</v>
      </c>
      <c r="J35" s="19" t="b">
        <v>1</v>
      </c>
      <c r="K35" s="19" t="b">
        <v>0</v>
      </c>
      <c r="L35" s="19" t="b">
        <v>0</v>
      </c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</row>
    <row r="36" ht="15.75" customHeight="1" outlineLevel="1">
      <c r="A36" s="34"/>
      <c r="B36" s="140" t="s">
        <v>425</v>
      </c>
      <c r="C36" s="140" t="s">
        <v>390</v>
      </c>
      <c r="D36" s="140">
        <v>16.0</v>
      </c>
      <c r="E36" s="140">
        <v>2.0</v>
      </c>
      <c r="F36" s="140" t="s">
        <v>128</v>
      </c>
      <c r="G36" s="140" t="s">
        <v>23</v>
      </c>
      <c r="H36" s="140" t="s">
        <v>31</v>
      </c>
      <c r="I36" s="213" t="s">
        <v>426</v>
      </c>
      <c r="J36" s="106" t="b">
        <v>0</v>
      </c>
      <c r="K36" s="106" t="b">
        <v>0</v>
      </c>
      <c r="L36" s="106" t="b">
        <v>0</v>
      </c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</row>
    <row r="37" ht="15.75" customHeight="1" outlineLevel="1">
      <c r="A37" s="35" t="s">
        <v>388</v>
      </c>
      <c r="B37" s="34" t="s">
        <v>427</v>
      </c>
      <c r="C37" s="34" t="s">
        <v>390</v>
      </c>
      <c r="D37" s="34">
        <v>2.0</v>
      </c>
      <c r="E37" s="34">
        <v>1.0</v>
      </c>
      <c r="F37" s="34" t="s">
        <v>128</v>
      </c>
      <c r="G37" s="34" t="s">
        <v>31</v>
      </c>
      <c r="H37" s="34" t="s">
        <v>23</v>
      </c>
      <c r="I37" s="149">
        <v>45880.0</v>
      </c>
      <c r="J37" s="19" t="b">
        <v>1</v>
      </c>
      <c r="K37" s="19" t="b">
        <v>0</v>
      </c>
      <c r="L37" s="19" t="b">
        <v>0</v>
      </c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</row>
    <row r="38" ht="15.75" customHeight="1" outlineLevel="1">
      <c r="A38" s="35" t="s">
        <v>388</v>
      </c>
      <c r="B38" s="34" t="s">
        <v>101</v>
      </c>
      <c r="C38" s="34" t="s">
        <v>390</v>
      </c>
      <c r="D38" s="34">
        <v>2.0</v>
      </c>
      <c r="E38" s="34">
        <v>1.0</v>
      </c>
      <c r="F38" s="34" t="s">
        <v>128</v>
      </c>
      <c r="G38" s="34" t="s">
        <v>31</v>
      </c>
      <c r="H38" s="34" t="s">
        <v>23</v>
      </c>
      <c r="I38" s="149">
        <v>45889.0</v>
      </c>
      <c r="J38" s="19" t="b">
        <v>1</v>
      </c>
      <c r="K38" s="19" t="b">
        <v>0</v>
      </c>
      <c r="L38" s="19" t="b">
        <v>0</v>
      </c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</row>
    <row r="39" ht="15.75" customHeight="1" outlineLevel="1">
      <c r="A39" s="35" t="s">
        <v>388</v>
      </c>
      <c r="B39" s="34" t="s">
        <v>428</v>
      </c>
      <c r="C39" s="35" t="s">
        <v>390</v>
      </c>
      <c r="D39" s="35">
        <v>4.0</v>
      </c>
      <c r="E39" s="34">
        <v>2.0</v>
      </c>
      <c r="F39" s="34" t="s">
        <v>226</v>
      </c>
      <c r="G39" s="34" t="s">
        <v>31</v>
      </c>
      <c r="H39" s="34" t="s">
        <v>31</v>
      </c>
      <c r="I39" s="149">
        <v>45889.0</v>
      </c>
      <c r="J39" s="19" t="b">
        <v>1</v>
      </c>
      <c r="K39" s="19" t="b">
        <v>0</v>
      </c>
      <c r="L39" s="19" t="b">
        <v>0</v>
      </c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</row>
    <row r="40" ht="15.75" customHeight="1" outlineLevel="1">
      <c r="A40" s="35" t="s">
        <v>388</v>
      </c>
      <c r="B40" s="34" t="s">
        <v>429</v>
      </c>
      <c r="C40" s="34" t="s">
        <v>390</v>
      </c>
      <c r="D40" s="34">
        <v>2.0</v>
      </c>
      <c r="E40" s="34">
        <v>1.0</v>
      </c>
      <c r="F40" s="34" t="s">
        <v>128</v>
      </c>
      <c r="G40" s="34" t="s">
        <v>31</v>
      </c>
      <c r="H40" s="34" t="s">
        <v>31</v>
      </c>
      <c r="I40" s="214">
        <v>45890.0</v>
      </c>
      <c r="J40" s="19" t="b">
        <v>1</v>
      </c>
      <c r="K40" s="19" t="b">
        <v>0</v>
      </c>
      <c r="L40" s="19" t="b">
        <v>0</v>
      </c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</row>
    <row r="41" ht="15.75" customHeight="1" outlineLevel="1">
      <c r="A41" s="35" t="s">
        <v>388</v>
      </c>
      <c r="B41" s="34" t="s">
        <v>430</v>
      </c>
      <c r="C41" s="35" t="s">
        <v>390</v>
      </c>
      <c r="D41" s="35">
        <v>3.5</v>
      </c>
      <c r="E41" s="34">
        <v>2.0</v>
      </c>
      <c r="F41" s="34" t="s">
        <v>226</v>
      </c>
      <c r="G41" s="34" t="s">
        <v>31</v>
      </c>
      <c r="H41" s="34" t="s">
        <v>23</v>
      </c>
      <c r="I41" s="149">
        <v>45870.0</v>
      </c>
      <c r="J41" s="19" t="b">
        <v>1</v>
      </c>
      <c r="K41" s="19" t="b">
        <v>0</v>
      </c>
      <c r="L41" s="19" t="b">
        <v>0</v>
      </c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</row>
    <row r="42" ht="15.75" customHeight="1" outlineLevel="1">
      <c r="A42" s="35" t="s">
        <v>388</v>
      </c>
      <c r="B42" s="34" t="s">
        <v>431</v>
      </c>
      <c r="C42" s="34" t="s">
        <v>390</v>
      </c>
      <c r="D42" s="35">
        <v>5.0</v>
      </c>
      <c r="E42" s="35">
        <v>2.0</v>
      </c>
      <c r="F42" s="34" t="s">
        <v>128</v>
      </c>
      <c r="G42" s="34" t="s">
        <v>31</v>
      </c>
      <c r="H42" s="34" t="s">
        <v>31</v>
      </c>
      <c r="I42" s="214">
        <v>45891.0</v>
      </c>
      <c r="J42" s="19" t="b">
        <v>1</v>
      </c>
      <c r="K42" s="19" t="b">
        <v>0</v>
      </c>
      <c r="L42" s="19" t="b">
        <v>0</v>
      </c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</row>
    <row r="43" ht="15.75" customHeight="1" outlineLevel="1">
      <c r="A43" s="35" t="s">
        <v>392</v>
      </c>
      <c r="B43" s="34" t="s">
        <v>432</v>
      </c>
      <c r="C43" s="34" t="s">
        <v>390</v>
      </c>
      <c r="D43" s="34">
        <v>1.5</v>
      </c>
      <c r="E43" s="34">
        <v>1.0</v>
      </c>
      <c r="F43" s="34" t="s">
        <v>128</v>
      </c>
      <c r="G43" s="34" t="s">
        <v>31</v>
      </c>
      <c r="H43" s="34" t="s">
        <v>23</v>
      </c>
      <c r="I43" s="105" t="s">
        <v>419</v>
      </c>
      <c r="J43" s="19" t="b">
        <v>0</v>
      </c>
      <c r="K43" s="19" t="b">
        <v>0</v>
      </c>
      <c r="L43" s="19" t="b">
        <v>0</v>
      </c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</row>
    <row r="44" ht="15.75" customHeight="1" outlineLevel="1">
      <c r="A44" s="140"/>
      <c r="B44" s="140" t="s">
        <v>433</v>
      </c>
      <c r="C44" s="86" t="s">
        <v>395</v>
      </c>
      <c r="D44" s="86">
        <v>4.0</v>
      </c>
      <c r="E44" s="140">
        <v>2.0</v>
      </c>
      <c r="F44" s="140" t="s">
        <v>226</v>
      </c>
      <c r="G44" s="140" t="s">
        <v>23</v>
      </c>
      <c r="H44" s="140" t="s">
        <v>23</v>
      </c>
      <c r="I44" s="48" t="s">
        <v>426</v>
      </c>
      <c r="J44" s="19" t="b">
        <v>0</v>
      </c>
      <c r="K44" s="19" t="b">
        <v>0</v>
      </c>
      <c r="L44" s="19" t="b">
        <v>0</v>
      </c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</row>
    <row r="45" ht="15.75" customHeight="1" outlineLevel="1">
      <c r="A45" s="140"/>
      <c r="B45" s="140" t="s">
        <v>276</v>
      </c>
      <c r="C45" s="140" t="s">
        <v>390</v>
      </c>
      <c r="D45" s="140">
        <v>1.5</v>
      </c>
      <c r="E45" s="140">
        <v>1.0</v>
      </c>
      <c r="F45" s="140" t="s">
        <v>128</v>
      </c>
      <c r="G45" s="140" t="s">
        <v>23</v>
      </c>
      <c r="H45" s="140" t="s">
        <v>31</v>
      </c>
      <c r="I45" s="48" t="s">
        <v>426</v>
      </c>
      <c r="J45" s="19" t="b">
        <v>0</v>
      </c>
      <c r="K45" s="19" t="b">
        <v>0</v>
      </c>
      <c r="L45" s="19" t="b">
        <v>0</v>
      </c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</row>
    <row r="46" ht="15.75" customHeight="1" outlineLevel="1">
      <c r="A46" s="35" t="s">
        <v>388</v>
      </c>
      <c r="B46" s="35" t="s">
        <v>434</v>
      </c>
      <c r="C46" s="35" t="s">
        <v>390</v>
      </c>
      <c r="D46" s="35">
        <v>1.5</v>
      </c>
      <c r="E46" s="35">
        <v>1.0</v>
      </c>
      <c r="F46" s="35" t="s">
        <v>128</v>
      </c>
      <c r="G46" s="35" t="s">
        <v>23</v>
      </c>
      <c r="H46" s="35" t="s">
        <v>23</v>
      </c>
      <c r="I46" s="149">
        <v>45883.0</v>
      </c>
      <c r="J46" s="19" t="b">
        <v>1</v>
      </c>
      <c r="K46" s="19" t="b">
        <v>0</v>
      </c>
      <c r="L46" s="19" t="b">
        <v>0</v>
      </c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</row>
    <row r="47" ht="15.75" customHeight="1" outlineLevel="1">
      <c r="A47" s="35" t="s">
        <v>388</v>
      </c>
      <c r="B47" s="34" t="s">
        <v>124</v>
      </c>
      <c r="C47" s="34" t="s">
        <v>390</v>
      </c>
      <c r="D47" s="34">
        <v>5.0</v>
      </c>
      <c r="E47" s="34">
        <v>2.0</v>
      </c>
      <c r="F47" s="34" t="s">
        <v>128</v>
      </c>
      <c r="G47" s="34" t="s">
        <v>31</v>
      </c>
      <c r="H47" s="34" t="s">
        <v>31</v>
      </c>
      <c r="I47" s="149">
        <v>45888.0</v>
      </c>
      <c r="J47" s="19" t="b">
        <v>1</v>
      </c>
      <c r="K47" s="19" t="b">
        <v>0</v>
      </c>
      <c r="L47" s="19" t="b">
        <v>0</v>
      </c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</row>
    <row r="48" ht="15.75" customHeight="1" outlineLevel="1">
      <c r="A48" s="35" t="s">
        <v>392</v>
      </c>
      <c r="B48" s="34" t="s">
        <v>435</v>
      </c>
      <c r="C48" s="34" t="s">
        <v>390</v>
      </c>
      <c r="D48" s="34">
        <v>1.5</v>
      </c>
      <c r="E48" s="34">
        <v>1.0</v>
      </c>
      <c r="F48" s="34" t="s">
        <v>128</v>
      </c>
      <c r="G48" s="34" t="s">
        <v>31</v>
      </c>
      <c r="H48" s="34" t="s">
        <v>31</v>
      </c>
      <c r="I48" s="40" t="s">
        <v>436</v>
      </c>
      <c r="J48" s="19" t="b">
        <v>1</v>
      </c>
      <c r="K48" s="19" t="b">
        <v>0</v>
      </c>
      <c r="L48" s="19" t="b">
        <v>0</v>
      </c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</row>
    <row r="49" ht="15.75" customHeight="1" outlineLevel="1">
      <c r="A49" s="35" t="s">
        <v>388</v>
      </c>
      <c r="B49" s="34" t="s">
        <v>437</v>
      </c>
      <c r="C49" s="34" t="s">
        <v>390</v>
      </c>
      <c r="D49" s="34">
        <v>3.0</v>
      </c>
      <c r="E49" s="34">
        <v>1.0</v>
      </c>
      <c r="F49" s="34" t="s">
        <v>128</v>
      </c>
      <c r="G49" s="34" t="s">
        <v>31</v>
      </c>
      <c r="H49" s="34" t="s">
        <v>23</v>
      </c>
      <c r="I49" s="149">
        <v>45897.0</v>
      </c>
      <c r="J49" s="19" t="b">
        <v>1</v>
      </c>
      <c r="K49" s="19" t="b">
        <v>0</v>
      </c>
      <c r="L49" s="19" t="b">
        <v>0</v>
      </c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</row>
    <row r="50" ht="15.75" customHeight="1" outlineLevel="1">
      <c r="A50" s="35" t="s">
        <v>392</v>
      </c>
      <c r="B50" s="35" t="s">
        <v>438</v>
      </c>
      <c r="C50" s="35" t="s">
        <v>390</v>
      </c>
      <c r="D50" s="35">
        <v>3.0</v>
      </c>
      <c r="E50" s="35">
        <v>2.0</v>
      </c>
      <c r="F50" s="35" t="s">
        <v>128</v>
      </c>
      <c r="G50" s="35" t="s">
        <v>23</v>
      </c>
      <c r="H50" s="35" t="s">
        <v>23</v>
      </c>
      <c r="I50" s="105" t="s">
        <v>439</v>
      </c>
      <c r="J50" s="19" t="b">
        <v>0</v>
      </c>
      <c r="K50" s="19" t="b">
        <v>0</v>
      </c>
      <c r="L50" s="19" t="b">
        <v>0</v>
      </c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</row>
    <row r="51" ht="15.75" customHeight="1" outlineLevel="1">
      <c r="A51" s="35" t="s">
        <v>392</v>
      </c>
      <c r="B51" s="35" t="s">
        <v>440</v>
      </c>
      <c r="C51" s="35" t="s">
        <v>390</v>
      </c>
      <c r="D51" s="34"/>
      <c r="E51" s="34"/>
      <c r="F51" s="34"/>
      <c r="G51" s="34"/>
      <c r="H51" s="34"/>
      <c r="I51" s="40" t="s">
        <v>441</v>
      </c>
      <c r="J51" s="19" t="b">
        <v>1</v>
      </c>
      <c r="K51" s="19" t="b">
        <v>0</v>
      </c>
      <c r="L51" s="19" t="b">
        <v>0</v>
      </c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</row>
    <row r="52" ht="15.75" customHeight="1" outlineLevel="1">
      <c r="A52" s="35" t="s">
        <v>392</v>
      </c>
      <c r="B52" s="35" t="s">
        <v>442</v>
      </c>
      <c r="C52" s="35" t="s">
        <v>390</v>
      </c>
      <c r="D52" s="34"/>
      <c r="E52" s="34"/>
      <c r="F52" s="34"/>
      <c r="G52" s="34"/>
      <c r="H52" s="34"/>
      <c r="I52" s="40" t="s">
        <v>441</v>
      </c>
      <c r="J52" s="19" t="b">
        <v>0</v>
      </c>
      <c r="K52" s="19" t="b">
        <v>0</v>
      </c>
      <c r="L52" s="19" t="b">
        <v>0</v>
      </c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</row>
    <row r="53" ht="15.75" customHeight="1" outlineLevel="1">
      <c r="A53" s="35" t="s">
        <v>392</v>
      </c>
      <c r="B53" s="35" t="s">
        <v>206</v>
      </c>
      <c r="C53" s="35" t="s">
        <v>390</v>
      </c>
      <c r="D53" s="34"/>
      <c r="E53" s="34"/>
      <c r="F53" s="34"/>
      <c r="G53" s="34"/>
      <c r="H53" s="34"/>
      <c r="I53" s="217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</row>
    <row r="54" ht="15.75" customHeight="1" outlineLevel="1">
      <c r="A54" s="117"/>
      <c r="B54" s="35" t="s">
        <v>443</v>
      </c>
      <c r="C54" s="35" t="s">
        <v>390</v>
      </c>
      <c r="D54" s="35">
        <v>2.5</v>
      </c>
      <c r="E54" s="35">
        <v>2.0</v>
      </c>
      <c r="F54" s="35" t="s">
        <v>128</v>
      </c>
      <c r="G54" s="35" t="s">
        <v>388</v>
      </c>
      <c r="H54" s="35" t="s">
        <v>388</v>
      </c>
      <c r="I54" s="34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</row>
    <row r="55" ht="15.75" customHeight="1" outlineLevel="1">
      <c r="A55" s="117"/>
      <c r="B55" s="34"/>
      <c r="C55" s="34"/>
      <c r="D55" s="34"/>
      <c r="E55" s="34"/>
      <c r="F55" s="34"/>
      <c r="G55" s="34"/>
      <c r="H55" s="34"/>
      <c r="I55" s="34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</row>
    <row r="56" ht="15.75" customHeight="1" outlineLevel="1">
      <c r="A56" s="117"/>
      <c r="B56" s="34"/>
      <c r="C56" s="34"/>
      <c r="D56" s="34"/>
      <c r="E56" s="34"/>
      <c r="F56" s="34"/>
      <c r="G56" s="34"/>
      <c r="H56" s="34"/>
      <c r="I56" s="34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</row>
    <row r="57" ht="15.75" customHeight="1" outlineLevel="1">
      <c r="A57" s="117"/>
      <c r="B57" s="34"/>
      <c r="C57" s="34"/>
      <c r="D57" s="34"/>
      <c r="E57" s="34"/>
      <c r="F57" s="34"/>
      <c r="G57" s="34"/>
      <c r="H57" s="34"/>
      <c r="I57" s="34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</row>
    <row r="58" ht="15.75" customHeight="1" outlineLevel="1">
      <c r="A58" s="117"/>
      <c r="B58" s="34"/>
      <c r="C58" s="34"/>
      <c r="D58" s="34"/>
      <c r="E58" s="34"/>
      <c r="F58" s="34"/>
      <c r="G58" s="34"/>
      <c r="H58" s="34"/>
      <c r="I58" s="34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</row>
    <row r="59" ht="15.75" customHeight="1" outlineLevel="1">
      <c r="A59" s="117"/>
      <c r="B59" s="34"/>
      <c r="C59" s="34"/>
      <c r="D59" s="34"/>
      <c r="E59" s="34"/>
      <c r="F59" s="34"/>
      <c r="G59" s="34"/>
      <c r="H59" s="34"/>
      <c r="I59" s="34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</row>
    <row r="60" ht="15.75" customHeight="1" outlineLevel="1">
      <c r="A60" s="117"/>
      <c r="B60" s="34"/>
      <c r="C60" s="34"/>
      <c r="D60" s="34"/>
      <c r="E60" s="34"/>
      <c r="F60" s="34"/>
      <c r="G60" s="34"/>
      <c r="H60" s="34"/>
      <c r="I60" s="34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</row>
    <row r="61" ht="15.75" customHeight="1" outlineLevel="1">
      <c r="A61" s="117"/>
      <c r="B61" s="34"/>
      <c r="C61" s="34"/>
      <c r="D61" s="34"/>
      <c r="E61" s="34"/>
      <c r="F61" s="34"/>
      <c r="G61" s="34"/>
      <c r="H61" s="34"/>
      <c r="I61" s="34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</row>
    <row r="62" ht="15.75" customHeight="1" outlineLevel="1">
      <c r="A62" s="117"/>
      <c r="B62" s="34"/>
      <c r="C62" s="34"/>
      <c r="D62" s="34"/>
      <c r="E62" s="34"/>
      <c r="F62" s="34"/>
      <c r="G62" s="34"/>
      <c r="H62" s="34"/>
      <c r="I62" s="34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</row>
    <row r="63" ht="15.75" customHeight="1" outlineLevel="1">
      <c r="A63" s="117"/>
      <c r="B63" s="34"/>
      <c r="C63" s="34"/>
      <c r="D63" s="34"/>
      <c r="E63" s="34"/>
      <c r="F63" s="34"/>
      <c r="G63" s="34"/>
      <c r="H63" s="34"/>
      <c r="I63" s="34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</row>
    <row r="64" ht="15.75" customHeight="1" outlineLevel="1">
      <c r="A64" s="117"/>
      <c r="B64" s="34"/>
      <c r="C64" s="34"/>
      <c r="D64" s="34"/>
      <c r="E64" s="34"/>
      <c r="F64" s="34"/>
      <c r="G64" s="34"/>
      <c r="H64" s="34"/>
      <c r="I64" s="34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</row>
    <row r="65" ht="15.75" customHeight="1" outlineLevel="1">
      <c r="A65" s="117"/>
      <c r="B65" s="34"/>
      <c r="C65" s="34"/>
      <c r="D65" s="34"/>
      <c r="E65" s="34"/>
      <c r="F65" s="34"/>
      <c r="G65" s="34"/>
      <c r="H65" s="34"/>
      <c r="I65" s="34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</row>
    <row r="66" ht="15.75" customHeight="1" outlineLevel="1">
      <c r="A66" s="117"/>
      <c r="B66" s="34"/>
      <c r="C66" s="34"/>
      <c r="D66" s="34"/>
      <c r="E66" s="34"/>
      <c r="F66" s="34"/>
      <c r="G66" s="34"/>
      <c r="H66" s="34"/>
      <c r="I66" s="34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</row>
    <row r="67" ht="15.75" customHeight="1" outlineLevel="1">
      <c r="A67" s="117"/>
      <c r="B67" s="34"/>
      <c r="C67" s="34"/>
      <c r="D67" s="34"/>
      <c r="E67" s="34"/>
      <c r="F67" s="34"/>
      <c r="G67" s="34"/>
      <c r="H67" s="34"/>
      <c r="I67" s="34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</row>
    <row r="68" ht="15.75" customHeight="1" outlineLevel="1">
      <c r="A68" s="117"/>
      <c r="B68" s="34"/>
      <c r="C68" s="34"/>
      <c r="D68" s="34"/>
      <c r="E68" s="34"/>
      <c r="F68" s="34"/>
      <c r="G68" s="34"/>
      <c r="H68" s="34"/>
      <c r="I68" s="34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</row>
    <row r="69" ht="15.75" customHeight="1" outlineLevel="1">
      <c r="A69" s="117"/>
      <c r="B69" s="34"/>
      <c r="C69" s="34"/>
      <c r="D69" s="34"/>
      <c r="E69" s="34"/>
      <c r="F69" s="34"/>
      <c r="G69" s="34"/>
      <c r="H69" s="34"/>
      <c r="I69" s="34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</row>
    <row r="70" ht="15.75" customHeight="1" outlineLevel="1">
      <c r="A70" s="117"/>
      <c r="B70" s="34"/>
      <c r="C70" s="34"/>
      <c r="D70" s="34"/>
      <c r="E70" s="34"/>
      <c r="F70" s="34"/>
      <c r="G70" s="34"/>
      <c r="H70" s="34"/>
      <c r="I70" s="34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</row>
    <row r="71" ht="15.75" customHeight="1" outlineLevel="1">
      <c r="A71" s="117"/>
      <c r="B71" s="34"/>
      <c r="C71" s="34"/>
      <c r="D71" s="34"/>
      <c r="E71" s="34"/>
      <c r="F71" s="34"/>
      <c r="G71" s="34"/>
      <c r="H71" s="34"/>
      <c r="I71" s="34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</row>
    <row r="72" ht="15.75" customHeight="1" outlineLevel="1">
      <c r="A72" s="117"/>
      <c r="B72" s="34"/>
      <c r="C72" s="34"/>
      <c r="D72" s="34"/>
      <c r="E72" s="34"/>
      <c r="F72" s="34"/>
      <c r="G72" s="34"/>
      <c r="H72" s="34"/>
      <c r="I72" s="34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</row>
    <row r="73" ht="15.75" customHeight="1" outlineLevel="1">
      <c r="A73" s="117"/>
      <c r="B73" s="34"/>
      <c r="C73" s="34"/>
      <c r="D73" s="34"/>
      <c r="E73" s="34"/>
      <c r="F73" s="34"/>
      <c r="G73" s="34"/>
      <c r="H73" s="34"/>
      <c r="I73" s="34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</row>
    <row r="74" ht="15.75" customHeight="1" outlineLevel="1">
      <c r="A74" s="117"/>
      <c r="B74" s="34"/>
      <c r="C74" s="34"/>
      <c r="D74" s="34"/>
      <c r="E74" s="34"/>
      <c r="F74" s="34"/>
      <c r="G74" s="34"/>
      <c r="H74" s="34"/>
      <c r="I74" s="34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</row>
    <row r="75" ht="15.75" customHeight="1" outlineLevel="1">
      <c r="A75" s="117"/>
      <c r="B75" s="34"/>
      <c r="C75" s="34"/>
      <c r="D75" s="34"/>
      <c r="E75" s="34"/>
      <c r="F75" s="34"/>
      <c r="G75" s="34"/>
      <c r="H75" s="34"/>
      <c r="I75" s="34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</row>
    <row r="76" ht="15.75" customHeight="1" outlineLevel="1">
      <c r="A76" s="117"/>
      <c r="B76" s="34"/>
      <c r="C76" s="34"/>
      <c r="D76" s="34"/>
      <c r="E76" s="34"/>
      <c r="F76" s="34"/>
      <c r="G76" s="34"/>
      <c r="H76" s="34"/>
      <c r="I76" s="34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</row>
    <row r="77" ht="15.75" customHeight="1" outlineLevel="1">
      <c r="A77" s="117"/>
      <c r="B77" s="34"/>
      <c r="C77" s="34"/>
      <c r="D77" s="34"/>
      <c r="E77" s="34"/>
      <c r="F77" s="34"/>
      <c r="G77" s="34"/>
      <c r="H77" s="34"/>
      <c r="I77" s="34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</row>
    <row r="78" ht="15.75" customHeight="1" outlineLevel="1">
      <c r="A78" s="117"/>
      <c r="B78" s="34"/>
      <c r="C78" s="34"/>
      <c r="D78" s="34"/>
      <c r="E78" s="34"/>
      <c r="F78" s="34"/>
      <c r="G78" s="34"/>
      <c r="H78" s="34"/>
      <c r="I78" s="34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</row>
    <row r="79" ht="15.75" customHeight="1" outlineLevel="1">
      <c r="A79" s="117"/>
      <c r="B79" s="34"/>
      <c r="C79" s="34"/>
      <c r="D79" s="34"/>
      <c r="E79" s="34"/>
      <c r="F79" s="34"/>
      <c r="G79" s="34"/>
      <c r="H79" s="34"/>
      <c r="I79" s="34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</row>
    <row r="80" ht="15.75" customHeight="1" outlineLevel="1">
      <c r="A80" s="117"/>
      <c r="B80" s="34"/>
      <c r="C80" s="34"/>
      <c r="D80" s="34"/>
      <c r="E80" s="34"/>
      <c r="F80" s="34"/>
      <c r="G80" s="34"/>
      <c r="H80" s="34"/>
      <c r="I80" s="34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</row>
    <row r="81" ht="15.75" customHeight="1" outlineLevel="1">
      <c r="A81" s="117"/>
      <c r="B81" s="34"/>
      <c r="C81" s="34"/>
      <c r="D81" s="34"/>
      <c r="E81" s="34"/>
      <c r="F81" s="34"/>
      <c r="G81" s="34"/>
      <c r="H81" s="34"/>
      <c r="I81" s="34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</row>
    <row r="82" ht="15.75" customHeight="1" outlineLevel="1">
      <c r="A82" s="117"/>
      <c r="B82" s="34"/>
      <c r="C82" s="34"/>
      <c r="D82" s="34"/>
      <c r="E82" s="34"/>
      <c r="F82" s="34"/>
      <c r="G82" s="34"/>
      <c r="H82" s="34"/>
      <c r="I82" s="34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</row>
    <row r="83" ht="15.75" customHeight="1" outlineLevel="1">
      <c r="A83" s="117"/>
      <c r="B83" s="34"/>
      <c r="C83" s="34"/>
      <c r="D83" s="34"/>
      <c r="E83" s="34"/>
      <c r="F83" s="34"/>
      <c r="G83" s="34"/>
      <c r="H83" s="34"/>
      <c r="I83" s="34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</row>
    <row r="84" ht="15.75" customHeight="1" outlineLevel="1">
      <c r="A84" s="117"/>
      <c r="B84" s="34"/>
      <c r="C84" s="34"/>
      <c r="D84" s="34"/>
      <c r="E84" s="34"/>
      <c r="F84" s="34"/>
      <c r="G84" s="34"/>
      <c r="H84" s="34"/>
      <c r="I84" s="34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</row>
    <row r="85" ht="15.75" customHeight="1" outlineLevel="1">
      <c r="A85" s="117"/>
      <c r="B85" s="34"/>
      <c r="C85" s="34"/>
      <c r="D85" s="34"/>
      <c r="E85" s="34"/>
      <c r="F85" s="34"/>
      <c r="G85" s="34"/>
      <c r="H85" s="34"/>
      <c r="I85" s="34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</row>
    <row r="86" ht="15.75" customHeight="1" outlineLevel="1">
      <c r="A86" s="117"/>
      <c r="B86" s="34"/>
      <c r="C86" s="34"/>
      <c r="D86" s="34"/>
      <c r="E86" s="34"/>
      <c r="F86" s="34"/>
      <c r="G86" s="34"/>
      <c r="H86" s="34"/>
      <c r="I86" s="34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</row>
    <row r="87" ht="15.75" customHeight="1" outlineLevel="1">
      <c r="A87" s="117"/>
      <c r="B87" s="34"/>
      <c r="C87" s="34"/>
      <c r="D87" s="34"/>
      <c r="E87" s="34"/>
      <c r="F87" s="34"/>
      <c r="G87" s="34"/>
      <c r="H87" s="34"/>
      <c r="I87" s="34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</row>
    <row r="88" ht="15.75" customHeight="1" outlineLevel="1">
      <c r="A88" s="117"/>
      <c r="B88" s="34"/>
      <c r="C88" s="34"/>
      <c r="D88" s="34"/>
      <c r="E88" s="34"/>
      <c r="F88" s="34"/>
      <c r="G88" s="34"/>
      <c r="H88" s="34"/>
      <c r="I88" s="34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</row>
    <row r="89" ht="15.75" customHeight="1" outlineLevel="1">
      <c r="A89" s="117"/>
      <c r="B89" s="34"/>
      <c r="C89" s="34"/>
      <c r="D89" s="34"/>
      <c r="E89" s="34"/>
      <c r="F89" s="34"/>
      <c r="G89" s="34"/>
      <c r="H89" s="34"/>
      <c r="I89" s="34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</row>
    <row r="90" ht="15.75" customHeight="1" outlineLevel="1">
      <c r="A90" s="117"/>
      <c r="B90" s="34"/>
      <c r="C90" s="34"/>
      <c r="D90" s="34"/>
      <c r="E90" s="34"/>
      <c r="F90" s="34"/>
      <c r="G90" s="34"/>
      <c r="H90" s="34"/>
      <c r="I90" s="34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</row>
    <row r="91" ht="15.75" customHeight="1" outlineLevel="1">
      <c r="A91" s="117"/>
      <c r="B91" s="34"/>
      <c r="C91" s="34"/>
      <c r="D91" s="34"/>
      <c r="E91" s="34"/>
      <c r="F91" s="34"/>
      <c r="G91" s="34"/>
      <c r="H91" s="34"/>
      <c r="I91" s="34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</row>
    <row r="92" ht="15.75" customHeight="1" outlineLevel="1">
      <c r="A92" s="117"/>
      <c r="B92" s="34"/>
      <c r="C92" s="34"/>
      <c r="D92" s="34"/>
      <c r="E92" s="34"/>
      <c r="F92" s="34"/>
      <c r="G92" s="34"/>
      <c r="H92" s="34"/>
      <c r="I92" s="34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</row>
    <row r="93" ht="15.75" customHeight="1" outlineLevel="1">
      <c r="A93" s="117"/>
      <c r="B93" s="34"/>
      <c r="C93" s="34"/>
      <c r="D93" s="34"/>
      <c r="E93" s="34"/>
      <c r="F93" s="34"/>
      <c r="G93" s="34"/>
      <c r="H93" s="34"/>
      <c r="I93" s="34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</row>
    <row r="94" ht="15.75" customHeight="1" outlineLevel="1">
      <c r="A94" s="117"/>
      <c r="B94" s="34"/>
      <c r="C94" s="34"/>
      <c r="D94" s="34"/>
      <c r="E94" s="34"/>
      <c r="F94" s="34"/>
      <c r="G94" s="34"/>
      <c r="H94" s="34"/>
      <c r="I94" s="34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</row>
    <row r="95" ht="15.75" customHeight="1" outlineLevel="1">
      <c r="A95" s="34"/>
      <c r="B95" s="34"/>
      <c r="C95" s="34"/>
      <c r="D95" s="34"/>
      <c r="E95" s="34"/>
      <c r="F95" s="34"/>
      <c r="G95" s="34"/>
      <c r="H95" s="34"/>
      <c r="I95" s="34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</row>
    <row r="96" ht="15.75" customHeight="1" outlineLevel="1">
      <c r="A96" s="34"/>
      <c r="B96" s="34"/>
      <c r="C96" s="34"/>
      <c r="D96" s="34"/>
      <c r="E96" s="34"/>
      <c r="F96" s="34"/>
      <c r="G96" s="34"/>
      <c r="H96" s="34"/>
      <c r="I96" s="34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</row>
    <row r="97" ht="15.75" customHeight="1" outlineLevel="1">
      <c r="A97" s="34"/>
      <c r="B97" s="34"/>
      <c r="C97" s="34"/>
      <c r="D97" s="34"/>
      <c r="E97" s="34"/>
      <c r="F97" s="34"/>
      <c r="G97" s="34"/>
      <c r="H97" s="34"/>
      <c r="I97" s="34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</row>
    <row r="98" ht="15.75" customHeight="1" outlineLevel="1">
      <c r="A98" s="34"/>
      <c r="B98" s="34"/>
      <c r="C98" s="34"/>
      <c r="D98" s="34"/>
      <c r="E98" s="34"/>
      <c r="F98" s="34"/>
      <c r="G98" s="34"/>
      <c r="H98" s="34"/>
      <c r="I98" s="34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</row>
    <row r="99" ht="15.75" customHeight="1" outlineLevel="1">
      <c r="A99" s="34"/>
      <c r="B99" s="34"/>
      <c r="C99" s="34"/>
      <c r="D99" s="34"/>
      <c r="E99" s="34"/>
      <c r="F99" s="34"/>
      <c r="G99" s="34"/>
      <c r="H99" s="34"/>
      <c r="I99" s="34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</row>
    <row r="100" ht="15.75" customHeight="1" outlineLevel="1">
      <c r="A100" s="34"/>
      <c r="B100" s="34"/>
      <c r="C100" s="34"/>
      <c r="D100" s="34"/>
      <c r="E100" s="34"/>
      <c r="F100" s="34"/>
      <c r="G100" s="34"/>
      <c r="H100" s="34"/>
      <c r="I100" s="34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</row>
    <row r="101" ht="15.75" customHeight="1" outlineLevel="1">
      <c r="A101" s="34"/>
      <c r="B101" s="34"/>
      <c r="C101" s="34"/>
      <c r="D101" s="34"/>
      <c r="E101" s="34"/>
      <c r="F101" s="34"/>
      <c r="G101" s="34"/>
      <c r="H101" s="34"/>
      <c r="I101" s="34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</row>
    <row r="102" ht="15.75" customHeight="1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</row>
    <row r="103" ht="15.75" customHeight="1">
      <c r="A103" s="118"/>
      <c r="B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</row>
    <row r="104" ht="15.75" customHeight="1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</row>
    <row r="105" ht="15.75" customHeight="1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</row>
    <row r="106" ht="15.7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</row>
    <row r="107" ht="15.7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</row>
    <row r="108" ht="15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</row>
    <row r="109" ht="15.7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</row>
    <row r="110" ht="15.7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</row>
    <row r="111" ht="15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</row>
    <row r="112" ht="15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</row>
    <row r="113" ht="15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</row>
    <row r="114" ht="15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</row>
    <row r="115" ht="15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</row>
    <row r="116" ht="15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</row>
    <row r="117" ht="15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</row>
    <row r="118" ht="15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</row>
    <row r="119" ht="15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</row>
    <row r="120" ht="15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</row>
    <row r="121" ht="15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</row>
    <row r="122" ht="15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</row>
    <row r="123" ht="15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</row>
    <row r="124" ht="15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</row>
    <row r="125" ht="15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</row>
    <row r="126" ht="15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</row>
    <row r="127" ht="15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</row>
    <row r="128" ht="15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</row>
    <row r="129" ht="15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</row>
    <row r="130" ht="15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</row>
    <row r="131" ht="15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</row>
    <row r="132" ht="15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</row>
    <row r="133" ht="15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</row>
    <row r="134" ht="15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</row>
    <row r="135" ht="15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</row>
    <row r="136" ht="15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</row>
    <row r="137" ht="15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</row>
    <row r="138" ht="15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</row>
    <row r="139" ht="15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</row>
    <row r="140" ht="15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</row>
    <row r="141" ht="15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</row>
    <row r="142" ht="15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</row>
    <row r="143" ht="15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</row>
    <row r="144" ht="15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</row>
    <row r="145" ht="15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</row>
    <row r="146" ht="15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</row>
    <row r="147" ht="15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</row>
    <row r="148" ht="15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</row>
    <row r="149" ht="15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</row>
    <row r="150" ht="15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</row>
    <row r="151" ht="15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</row>
    <row r="152" ht="15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</row>
    <row r="153" ht="15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</row>
    <row r="154" ht="15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</row>
    <row r="155" ht="15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</row>
    <row r="156" ht="15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</row>
    <row r="157" ht="15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</row>
    <row r="158" ht="15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</row>
    <row r="159" ht="15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</row>
    <row r="160" ht="15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</row>
    <row r="161" ht="15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</row>
    <row r="162" ht="15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</row>
    <row r="163" ht="15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</row>
    <row r="164" ht="15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</row>
    <row r="165" ht="15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</row>
    <row r="166" ht="15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</row>
    <row r="167" ht="15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</row>
    <row r="168" ht="15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</row>
    <row r="169" ht="15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</row>
    <row r="170" ht="15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</row>
    <row r="171" ht="15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</row>
    <row r="172" ht="15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</row>
    <row r="173" ht="15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</row>
    <row r="174" ht="15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</row>
    <row r="175" ht="15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</row>
    <row r="176" ht="15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</row>
    <row r="177" ht="15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</row>
    <row r="178" ht="15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</row>
    <row r="179" ht="15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</row>
    <row r="180" ht="15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</row>
    <row r="181" ht="15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</row>
    <row r="182" ht="15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</row>
    <row r="183" ht="15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</row>
    <row r="184" ht="15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</row>
    <row r="185" ht="15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</row>
    <row r="186" ht="15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</row>
    <row r="187" ht="15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</row>
    <row r="188" ht="15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</row>
    <row r="189" ht="15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</row>
    <row r="190" ht="15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</row>
    <row r="191" ht="15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</row>
    <row r="192" ht="15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</row>
    <row r="193" ht="15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</row>
    <row r="194" ht="15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</row>
    <row r="195" ht="15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</row>
    <row r="196" ht="15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</row>
    <row r="197" ht="15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</row>
    <row r="198" ht="15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</row>
    <row r="199" ht="15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</row>
    <row r="200" ht="15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</row>
    <row r="201" ht="15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</row>
    <row r="202" ht="15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</row>
    <row r="203" ht="15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</row>
    <row r="204" ht="15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</row>
    <row r="205" ht="15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</row>
    <row r="206" ht="15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</row>
    <row r="207" ht="15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</row>
    <row r="208" ht="15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</row>
    <row r="209" ht="15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</row>
    <row r="210" ht="15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</row>
    <row r="211" ht="15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</row>
    <row r="212" ht="15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</row>
    <row r="213" ht="15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</row>
    <row r="214" ht="15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</row>
    <row r="215" ht="15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</row>
    <row r="216" ht="15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</row>
    <row r="217" ht="15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</row>
    <row r="218" ht="15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</row>
    <row r="219" ht="15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</row>
    <row r="220" ht="15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</row>
    <row r="221" ht="15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</row>
    <row r="222" ht="15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</row>
    <row r="223" ht="15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</row>
    <row r="224" ht="15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</row>
    <row r="225" ht="15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</row>
    <row r="226" ht="15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</row>
    <row r="227" ht="15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</row>
    <row r="228" ht="15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</row>
    <row r="229" ht="15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</row>
    <row r="230" ht="15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</row>
    <row r="231" ht="15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</row>
    <row r="232" ht="15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</row>
    <row r="233" ht="15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</row>
    <row r="234" ht="15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</row>
    <row r="235" ht="15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</row>
    <row r="236" ht="15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</row>
    <row r="237" ht="15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</row>
    <row r="238" ht="15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</row>
    <row r="239" ht="15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</row>
    <row r="240" ht="15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</row>
    <row r="241" ht="15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</row>
    <row r="242" ht="15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</row>
    <row r="243" ht="15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</row>
    <row r="244" ht="15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</row>
    <row r="245" ht="15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</row>
    <row r="246" ht="15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</row>
    <row r="247" ht="15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</row>
    <row r="248" ht="15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</row>
    <row r="249" ht="15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</row>
    <row r="250" ht="15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</row>
    <row r="251" ht="15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</row>
    <row r="252" ht="15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</row>
    <row r="253" ht="15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</row>
    <row r="254" ht="15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</row>
    <row r="255" ht="15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</row>
    <row r="256" ht="15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</row>
    <row r="257" ht="15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</row>
    <row r="258" ht="15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</row>
    <row r="259" ht="15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</row>
    <row r="260" ht="15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</row>
    <row r="261" ht="15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</row>
    <row r="262" ht="15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</row>
    <row r="263" ht="15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</row>
    <row r="264" ht="15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</row>
    <row r="265" ht="15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</row>
    <row r="266" ht="15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</row>
    <row r="267" ht="15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</row>
    <row r="268" ht="15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</row>
    <row r="269" ht="15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</row>
    <row r="270" ht="15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</row>
    <row r="271" ht="15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</row>
    <row r="272" ht="15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</row>
    <row r="273" ht="15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</row>
    <row r="274" ht="15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</row>
    <row r="275" ht="15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</row>
    <row r="276" ht="15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</row>
    <row r="277" ht="15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</row>
    <row r="278" ht="15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</row>
    <row r="279" ht="15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</row>
    <row r="280" ht="15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</row>
    <row r="281" ht="15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</row>
    <row r="282" ht="15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</row>
    <row r="283" ht="15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</row>
    <row r="284" ht="15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</row>
    <row r="285" ht="15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</row>
    <row r="286" ht="15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</row>
    <row r="287" ht="15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</row>
    <row r="288" ht="15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</row>
    <row r="289" ht="15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</row>
    <row r="290" ht="15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</row>
    <row r="291" ht="15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</row>
    <row r="292" ht="15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</row>
    <row r="293" ht="15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</row>
    <row r="294" ht="15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</row>
    <row r="295" ht="15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</row>
    <row r="296" ht="15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</row>
    <row r="297" ht="15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</row>
    <row r="298" ht="15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</row>
    <row r="299" ht="15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</row>
    <row r="300" ht="15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</row>
    <row r="301" ht="15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</row>
    <row r="302" ht="15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</row>
    <row r="303" ht="15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</row>
    <row r="304" ht="15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</row>
    <row r="305" ht="15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</row>
    <row r="306" ht="15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</row>
    <row r="307" ht="15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</row>
    <row r="308" ht="15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</row>
    <row r="309" ht="15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</row>
    <row r="310" ht="15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</row>
    <row r="311" ht="15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</row>
    <row r="312" ht="15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</row>
    <row r="313" ht="15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</row>
    <row r="314" ht="15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</row>
    <row r="315" ht="15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</row>
    <row r="316" ht="15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</row>
    <row r="317" ht="15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</row>
    <row r="318" ht="15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</row>
    <row r="319" ht="15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</row>
    <row r="320" ht="15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</row>
    <row r="321" ht="15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</row>
    <row r="322" ht="15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</row>
    <row r="323" ht="15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</row>
    <row r="324" ht="15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</row>
    <row r="325" ht="15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</row>
    <row r="326" ht="15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</row>
    <row r="327" ht="15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</row>
    <row r="328" ht="15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</row>
    <row r="329" ht="15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</row>
    <row r="330" ht="15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</row>
    <row r="331" ht="15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</row>
    <row r="332" ht="15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</row>
    <row r="333" ht="15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</row>
    <row r="334" ht="15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</row>
    <row r="335" ht="15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</row>
    <row r="336" ht="15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</row>
    <row r="337" ht="15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</row>
    <row r="338" ht="15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</row>
    <row r="339" ht="15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</row>
    <row r="340" ht="15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</row>
    <row r="341" ht="15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</row>
    <row r="342" ht="15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</row>
    <row r="343" ht="15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</row>
    <row r="344" ht="15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</row>
    <row r="345" ht="15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</row>
    <row r="346" ht="15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</row>
    <row r="347" ht="15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</row>
    <row r="348" ht="15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</row>
    <row r="349" ht="15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</row>
    <row r="350" ht="15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</row>
    <row r="351" ht="15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</row>
    <row r="352" ht="15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</row>
    <row r="353" ht="15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</row>
    <row r="354" ht="15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</row>
    <row r="355" ht="15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</row>
    <row r="356" ht="15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</row>
    <row r="357" ht="15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</row>
    <row r="358" ht="15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</row>
    <row r="359" ht="15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</row>
    <row r="360" ht="15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</row>
    <row r="361" ht="15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</row>
    <row r="362" ht="15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</row>
    <row r="363" ht="15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</row>
    <row r="364" ht="15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</row>
    <row r="365" ht="15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</row>
    <row r="366" ht="15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</row>
    <row r="367" ht="15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</row>
    <row r="368" ht="15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</row>
    <row r="369" ht="15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</row>
    <row r="370" ht="15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</row>
    <row r="371" ht="15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</row>
    <row r="372" ht="15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</row>
    <row r="373" ht="15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</row>
    <row r="374" ht="15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</row>
    <row r="375" ht="15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</row>
    <row r="376" ht="15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</row>
    <row r="377" ht="15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</row>
    <row r="378" ht="15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</row>
    <row r="379" ht="15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</row>
    <row r="380" ht="15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</row>
    <row r="381" ht="15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</row>
    <row r="382" ht="15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</row>
    <row r="383" ht="15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</row>
    <row r="384" ht="15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</row>
    <row r="385" ht="15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</row>
    <row r="386" ht="15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</row>
    <row r="387" ht="15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</row>
    <row r="388" ht="15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</row>
    <row r="389" ht="15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</row>
    <row r="390" ht="15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</row>
    <row r="391" ht="15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</row>
    <row r="392" ht="15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</row>
    <row r="393" ht="15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</row>
    <row r="394" ht="15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</row>
    <row r="395" ht="15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</row>
    <row r="396" ht="15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</row>
    <row r="397" ht="15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</row>
    <row r="398" ht="15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</row>
    <row r="399" ht="15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</row>
    <row r="400" ht="15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</row>
    <row r="401" ht="15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</row>
    <row r="402" ht="15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</row>
    <row r="403" ht="15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</row>
    <row r="404" ht="15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</row>
    <row r="405" ht="15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</row>
    <row r="406" ht="15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</row>
    <row r="407" ht="15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</row>
    <row r="408" ht="15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</row>
    <row r="409" ht="15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</row>
    <row r="410" ht="15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</row>
    <row r="411" ht="15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</row>
    <row r="412" ht="15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</row>
    <row r="413" ht="15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</row>
    <row r="414" ht="15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</row>
    <row r="415" ht="15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</row>
    <row r="416" ht="15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</row>
    <row r="417" ht="15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</row>
    <row r="418" ht="15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</row>
    <row r="419" ht="15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</row>
    <row r="420" ht="15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</row>
    <row r="421" ht="15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</row>
    <row r="422" ht="15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</row>
    <row r="423" ht="15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</row>
    <row r="424" ht="15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</row>
    <row r="425" ht="15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</row>
    <row r="426" ht="15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</row>
    <row r="427" ht="15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</row>
    <row r="428" ht="15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</row>
    <row r="429" ht="15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</row>
    <row r="430" ht="15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</row>
    <row r="431" ht="15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</row>
    <row r="432" ht="15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</row>
    <row r="433" ht="15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</row>
    <row r="434" ht="15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</row>
    <row r="435" ht="15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</row>
    <row r="436" ht="15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</row>
    <row r="437" ht="15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</row>
    <row r="438" ht="15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</row>
    <row r="439" ht="15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</row>
    <row r="440" ht="15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</row>
    <row r="441" ht="15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</row>
    <row r="442" ht="15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</row>
    <row r="443" ht="15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</row>
    <row r="444" ht="15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</row>
    <row r="445" ht="15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</row>
    <row r="446" ht="15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</row>
    <row r="447" ht="15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</row>
    <row r="448" ht="15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</row>
    <row r="449" ht="15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</row>
    <row r="450" ht="15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</row>
    <row r="451" ht="15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</row>
    <row r="452" ht="15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</row>
    <row r="453" ht="15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</row>
    <row r="454" ht="15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</row>
    <row r="455" ht="15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</row>
    <row r="456" ht="15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</row>
    <row r="457" ht="15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</row>
    <row r="458" ht="15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</row>
    <row r="459" ht="15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</row>
    <row r="460" ht="15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</row>
    <row r="461" ht="15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</row>
    <row r="462" ht="15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</row>
    <row r="463" ht="15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</row>
    <row r="464" ht="15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</row>
    <row r="465" ht="15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</row>
    <row r="466" ht="15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</row>
    <row r="467" ht="15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</row>
    <row r="468" ht="15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</row>
    <row r="469" ht="15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</row>
    <row r="470" ht="15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</row>
    <row r="471" ht="15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</row>
    <row r="472" ht="15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</row>
    <row r="473" ht="15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</row>
    <row r="474" ht="15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</row>
    <row r="475" ht="15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</row>
    <row r="476" ht="15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</row>
    <row r="477" ht="15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</row>
    <row r="478" ht="15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</row>
    <row r="479" ht="15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</row>
    <row r="480" ht="15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</row>
    <row r="481" ht="15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</row>
    <row r="482" ht="15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</row>
    <row r="483" ht="15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</row>
    <row r="484" ht="15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</row>
    <row r="485" ht="15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</row>
    <row r="486" ht="15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</row>
    <row r="487" ht="15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</row>
    <row r="488" ht="15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</row>
    <row r="489" ht="15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</row>
    <row r="490" ht="15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</row>
    <row r="491" ht="15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</row>
    <row r="492" ht="15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</row>
    <row r="493" ht="15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</row>
    <row r="494" ht="15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</row>
    <row r="495" ht="15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</row>
    <row r="496" ht="15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</row>
    <row r="497" ht="15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</row>
    <row r="498" ht="15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</row>
    <row r="499" ht="15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</row>
    <row r="500" ht="15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</row>
    <row r="501" ht="15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</row>
    <row r="502" ht="15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</row>
    <row r="503" ht="15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</row>
    <row r="504" ht="15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</row>
    <row r="505" ht="15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</row>
    <row r="506" ht="15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</row>
    <row r="507" ht="15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</row>
    <row r="508" ht="15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</row>
    <row r="509" ht="15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</row>
    <row r="510" ht="15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</row>
    <row r="511" ht="15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</row>
    <row r="512" ht="15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</row>
    <row r="513" ht="15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</row>
    <row r="514" ht="15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</row>
    <row r="515" ht="15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</row>
    <row r="516" ht="15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</row>
    <row r="517" ht="15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</row>
    <row r="518" ht="15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</row>
    <row r="519" ht="15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</row>
    <row r="520" ht="15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</row>
    <row r="521" ht="15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</row>
    <row r="522" ht="15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</row>
    <row r="523" ht="15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</row>
    <row r="524" ht="15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</row>
    <row r="525" ht="15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</row>
    <row r="526" ht="15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</row>
    <row r="527" ht="15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</row>
    <row r="528" ht="15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</row>
    <row r="529" ht="15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</row>
    <row r="530" ht="15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</row>
    <row r="531" ht="15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</row>
    <row r="532" ht="15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</row>
    <row r="533" ht="15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</row>
    <row r="534" ht="15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</row>
    <row r="535" ht="15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</row>
    <row r="536" ht="15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</row>
    <row r="537" ht="15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</row>
    <row r="538" ht="15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</row>
    <row r="539" ht="15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</row>
    <row r="540" ht="15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</row>
    <row r="541" ht="15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</row>
    <row r="542" ht="15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</row>
    <row r="543" ht="15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</row>
    <row r="544" ht="15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</row>
    <row r="545" ht="15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</row>
    <row r="546" ht="15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</row>
    <row r="547" ht="15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</row>
    <row r="548" ht="15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</row>
    <row r="549" ht="15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</row>
    <row r="550" ht="15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</row>
    <row r="551" ht="15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</row>
    <row r="552" ht="15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</row>
    <row r="553" ht="15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</row>
    <row r="554" ht="15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</row>
    <row r="555" ht="15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</row>
    <row r="556" ht="15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</row>
    <row r="557" ht="15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</row>
    <row r="558" ht="15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</row>
    <row r="559" ht="15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</row>
    <row r="560" ht="15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</row>
    <row r="561" ht="15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</row>
    <row r="562" ht="15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</row>
    <row r="563" ht="15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</row>
    <row r="564" ht="15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</row>
    <row r="565" ht="15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</row>
    <row r="566" ht="15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</row>
    <row r="567" ht="15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</row>
    <row r="568" ht="15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</row>
    <row r="569" ht="15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</row>
    <row r="570" ht="15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</row>
    <row r="571" ht="15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</row>
    <row r="572" ht="15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</row>
    <row r="573" ht="15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</row>
    <row r="574" ht="15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</row>
    <row r="575" ht="15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</row>
    <row r="576" ht="15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</row>
    <row r="577" ht="15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</row>
    <row r="578" ht="15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</row>
    <row r="579" ht="15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</row>
    <row r="580" ht="15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</row>
    <row r="581" ht="15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</row>
    <row r="582" ht="15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</row>
    <row r="583" ht="15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</row>
    <row r="584" ht="15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</row>
    <row r="585" ht="15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</row>
    <row r="586" ht="15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</row>
    <row r="587" ht="15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</row>
    <row r="588" ht="15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</row>
    <row r="589" ht="15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</row>
    <row r="590" ht="15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</row>
    <row r="591" ht="15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</row>
    <row r="592" ht="15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</row>
    <row r="593" ht="15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</row>
    <row r="594" ht="15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</row>
    <row r="595" ht="15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</row>
    <row r="596" ht="15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</row>
    <row r="597" ht="15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</row>
    <row r="598" ht="15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</row>
    <row r="599" ht="15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</row>
    <row r="600" ht="15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</row>
    <row r="601" ht="15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</row>
    <row r="602" ht="15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</row>
    <row r="603" ht="15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</row>
    <row r="604" ht="15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</row>
    <row r="605" ht="15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</row>
    <row r="606" ht="15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</row>
    <row r="607" ht="15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</row>
    <row r="608" ht="15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</row>
    <row r="609" ht="15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</row>
    <row r="610" ht="15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</row>
    <row r="611" ht="15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</row>
    <row r="612" ht="15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</row>
    <row r="613" ht="15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</row>
    <row r="614" ht="15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</row>
    <row r="615" ht="15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</row>
    <row r="616" ht="15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</row>
    <row r="617" ht="15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</row>
    <row r="618" ht="15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</row>
    <row r="619" ht="15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</row>
    <row r="620" ht="15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</row>
    <row r="621" ht="15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</row>
    <row r="622" ht="15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</row>
    <row r="623" ht="15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</row>
    <row r="624" ht="15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</row>
    <row r="625" ht="15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</row>
    <row r="626" ht="15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</row>
    <row r="627" ht="15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</row>
    <row r="628" ht="15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</row>
    <row r="629" ht="15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</row>
    <row r="630" ht="15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</row>
    <row r="631" ht="15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</row>
    <row r="632" ht="15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</row>
    <row r="633" ht="15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</row>
    <row r="634" ht="15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</row>
    <row r="635" ht="15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</row>
    <row r="636" ht="15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</row>
    <row r="637" ht="15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</row>
    <row r="638" ht="15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</row>
    <row r="639" ht="15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</row>
    <row r="640" ht="15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</row>
    <row r="641" ht="15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</row>
    <row r="642" ht="15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</row>
    <row r="643" ht="15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</row>
    <row r="644" ht="15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</row>
    <row r="645" ht="15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</row>
    <row r="646" ht="15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</row>
    <row r="647" ht="15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</row>
    <row r="648" ht="15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</row>
    <row r="649" ht="15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</row>
    <row r="650" ht="15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</row>
    <row r="651" ht="15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</row>
    <row r="652" ht="15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</row>
    <row r="653" ht="15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</row>
    <row r="654" ht="15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</row>
    <row r="655" ht="15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</row>
    <row r="656" ht="15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</row>
    <row r="657" ht="15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</row>
    <row r="658" ht="15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</row>
    <row r="659" ht="15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</row>
    <row r="660" ht="15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</row>
    <row r="661" ht="15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</row>
    <row r="662" ht="15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</row>
    <row r="663" ht="15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</row>
    <row r="664" ht="15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</row>
    <row r="665" ht="15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</row>
    <row r="666" ht="15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</row>
    <row r="667" ht="15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</row>
    <row r="668" ht="15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</row>
    <row r="669" ht="15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</row>
    <row r="670" ht="15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</row>
    <row r="671" ht="15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</row>
    <row r="672" ht="15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</row>
    <row r="673" ht="15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</row>
    <row r="674" ht="15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</row>
    <row r="675" ht="15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</row>
    <row r="676" ht="15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</row>
    <row r="677" ht="15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</row>
    <row r="678" ht="15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</row>
    <row r="679" ht="15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</row>
    <row r="680" ht="15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</row>
    <row r="681" ht="15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</row>
    <row r="682" ht="15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</row>
    <row r="683" ht="15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</row>
    <row r="684" ht="15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</row>
    <row r="685" ht="15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</row>
    <row r="686" ht="15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</row>
    <row r="687" ht="15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</row>
    <row r="688" ht="15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</row>
    <row r="689" ht="15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</row>
    <row r="690" ht="15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</row>
    <row r="691" ht="15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</row>
    <row r="692" ht="15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</row>
    <row r="693" ht="15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</row>
    <row r="694" ht="15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</row>
    <row r="695" ht="15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</row>
    <row r="696" ht="15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</row>
    <row r="697" ht="15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</row>
    <row r="698" ht="15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</row>
    <row r="699" ht="15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</row>
    <row r="700" ht="15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</row>
    <row r="701" ht="15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</row>
    <row r="702" ht="15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</row>
    <row r="703" ht="15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</row>
    <row r="704" ht="15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</row>
    <row r="705" ht="15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</row>
    <row r="706" ht="15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</row>
    <row r="707" ht="15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</row>
    <row r="708" ht="15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</row>
    <row r="709" ht="15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</row>
    <row r="710" ht="15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</row>
    <row r="711" ht="15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</row>
    <row r="712" ht="15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</row>
    <row r="713" ht="15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</row>
    <row r="714" ht="15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</row>
    <row r="715" ht="15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</row>
    <row r="716" ht="15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</row>
    <row r="717" ht="15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</row>
    <row r="718" ht="15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</row>
    <row r="719" ht="15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</row>
    <row r="720" ht="15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</row>
    <row r="721" ht="15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</row>
    <row r="722" ht="15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</row>
    <row r="723" ht="15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</row>
    <row r="724" ht="15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</row>
    <row r="725" ht="15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</row>
    <row r="726" ht="15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</row>
    <row r="727" ht="15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</row>
    <row r="728" ht="15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</row>
    <row r="729" ht="15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</row>
    <row r="730" ht="15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</row>
    <row r="731" ht="15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</row>
    <row r="732" ht="15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</row>
    <row r="733" ht="15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</row>
    <row r="734" ht="15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</row>
    <row r="735" ht="15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</row>
    <row r="736" ht="15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</row>
    <row r="737" ht="15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</row>
    <row r="738" ht="15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</row>
    <row r="739" ht="15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</row>
    <row r="740" ht="15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</row>
    <row r="741" ht="15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</row>
    <row r="742" ht="15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</row>
    <row r="743" ht="15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</row>
    <row r="744" ht="15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</row>
    <row r="745" ht="15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</row>
    <row r="746" ht="15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</row>
    <row r="747" ht="15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</row>
    <row r="748" ht="15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</row>
    <row r="749" ht="15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</row>
    <row r="750" ht="15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</row>
    <row r="751" ht="15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</row>
    <row r="752" ht="15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</row>
    <row r="753" ht="15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</row>
    <row r="754" ht="15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</row>
    <row r="755" ht="15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</row>
    <row r="756" ht="15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</row>
    <row r="757" ht="15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</row>
    <row r="758" ht="15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</row>
    <row r="759" ht="15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</row>
    <row r="760" ht="15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</row>
    <row r="761" ht="15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</row>
    <row r="762" ht="15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</row>
    <row r="763" ht="15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</row>
    <row r="764" ht="15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</row>
    <row r="765" ht="15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</row>
    <row r="766" ht="15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</row>
    <row r="767" ht="15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</row>
    <row r="768" ht="15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</row>
    <row r="769" ht="15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</row>
    <row r="770" ht="15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</row>
    <row r="771" ht="15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</row>
    <row r="772" ht="15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</row>
    <row r="773" ht="15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</row>
    <row r="774" ht="15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</row>
    <row r="775" ht="15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</row>
    <row r="776" ht="15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</row>
    <row r="777" ht="15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</row>
    <row r="778" ht="15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</row>
    <row r="779" ht="15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</row>
    <row r="780" ht="15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</row>
    <row r="781" ht="15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</row>
    <row r="782" ht="15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</row>
    <row r="783" ht="15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</row>
    <row r="784" ht="15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</row>
    <row r="785" ht="15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</row>
    <row r="786" ht="15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</row>
    <row r="787" ht="15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</row>
    <row r="788" ht="15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</row>
    <row r="789" ht="15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</row>
    <row r="790" ht="15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</row>
    <row r="791" ht="15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</row>
    <row r="792" ht="15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</row>
    <row r="793" ht="15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</row>
    <row r="794" ht="15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</row>
    <row r="795" ht="15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</row>
    <row r="796" ht="15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</row>
    <row r="797" ht="15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</row>
    <row r="798" ht="15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</row>
    <row r="799" ht="15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</row>
    <row r="800" ht="15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</row>
    <row r="801" ht="15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</row>
    <row r="802" ht="15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</row>
    <row r="803" ht="15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</row>
    <row r="804" ht="15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</row>
    <row r="805" ht="15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</row>
    <row r="806" ht="15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</row>
    <row r="807" ht="15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</row>
    <row r="808" ht="15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</row>
    <row r="809" ht="15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</row>
    <row r="810" ht="15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</row>
    <row r="811" ht="15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</row>
    <row r="812" ht="15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</row>
    <row r="813" ht="15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</row>
    <row r="814" ht="15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</row>
    <row r="815" ht="15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</row>
    <row r="816" ht="15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</row>
    <row r="817" ht="15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</row>
    <row r="818" ht="15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</row>
    <row r="819" ht="15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</row>
    <row r="820" ht="15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</row>
    <row r="821" ht="15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</row>
    <row r="822" ht="15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</row>
    <row r="823" ht="15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</row>
    <row r="824" ht="15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</row>
    <row r="825" ht="15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</row>
    <row r="826" ht="15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</row>
    <row r="827" ht="15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</row>
    <row r="828" ht="15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</row>
    <row r="829" ht="15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</row>
    <row r="830" ht="15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</row>
    <row r="831" ht="15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</row>
    <row r="832" ht="15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</row>
    <row r="833" ht="15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</row>
    <row r="834" ht="15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</row>
    <row r="835" ht="15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</row>
    <row r="836" ht="15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</row>
    <row r="837" ht="15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</row>
    <row r="838" ht="15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</row>
    <row r="839" ht="15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</row>
    <row r="840" ht="15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</row>
    <row r="841" ht="15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</row>
    <row r="842" ht="15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</row>
    <row r="843" ht="15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</row>
    <row r="844" ht="15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</row>
    <row r="845" ht="15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</row>
    <row r="846" ht="15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</row>
    <row r="847" ht="15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</row>
    <row r="848" ht="15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</row>
    <row r="849" ht="15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</row>
    <row r="850" ht="15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</row>
    <row r="851" ht="15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</row>
    <row r="852" ht="15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</row>
    <row r="853" ht="15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</row>
    <row r="854" ht="15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</row>
    <row r="855" ht="15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</row>
    <row r="856" ht="15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</row>
    <row r="857" ht="15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</row>
    <row r="858" ht="15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</row>
    <row r="859" ht="15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</row>
    <row r="860" ht="15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</row>
    <row r="861" ht="15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</row>
    <row r="862" ht="15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</row>
    <row r="863" ht="15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</row>
    <row r="864" ht="15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</row>
    <row r="865" ht="15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</row>
    <row r="866" ht="15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</row>
    <row r="867" ht="15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</row>
    <row r="868" ht="15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</row>
    <row r="869" ht="15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</row>
    <row r="870" ht="15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</row>
    <row r="871" ht="15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</row>
    <row r="872" ht="15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</row>
    <row r="873" ht="15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</row>
    <row r="874" ht="15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</row>
    <row r="875" ht="15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</row>
    <row r="876" ht="15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</row>
    <row r="877" ht="15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</row>
    <row r="878" ht="15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</row>
    <row r="879" ht="15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</row>
    <row r="880" ht="15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</row>
    <row r="881" ht="15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</row>
    <row r="882" ht="15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</row>
    <row r="883" ht="15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</row>
    <row r="884" ht="15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</row>
    <row r="885" ht="15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</row>
    <row r="886" ht="15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</row>
    <row r="887" ht="15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</row>
    <row r="888" ht="15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</row>
    <row r="889" ht="15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</row>
    <row r="890" ht="15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</row>
    <row r="891" ht="15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</row>
    <row r="892" ht="15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</row>
    <row r="893" ht="15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</row>
    <row r="894" ht="15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</row>
    <row r="895" ht="15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</row>
    <row r="896" ht="15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</row>
    <row r="897" ht="15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</row>
    <row r="898" ht="15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</row>
    <row r="899" ht="15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</row>
    <row r="900" ht="15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</row>
    <row r="901" ht="15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</row>
    <row r="902" ht="15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</row>
    <row r="903" ht="15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</row>
    <row r="904" ht="15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</row>
    <row r="905" ht="15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</row>
    <row r="906" ht="15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</row>
    <row r="907" ht="15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</row>
    <row r="908" ht="15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</row>
    <row r="909" ht="15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</row>
    <row r="910" ht="15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</row>
    <row r="911" ht="15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</row>
    <row r="912" ht="15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</row>
    <row r="913" ht="15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</row>
    <row r="914" ht="15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</row>
    <row r="915" ht="15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</row>
    <row r="916" ht="15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</row>
    <row r="917" ht="15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</row>
    <row r="918" ht="15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</row>
    <row r="919" ht="15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</row>
    <row r="920" ht="15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</row>
    <row r="921" ht="15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</row>
    <row r="922" ht="15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</row>
    <row r="923" ht="15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</row>
    <row r="924" ht="15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</row>
    <row r="925" ht="15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</row>
    <row r="926" ht="15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</row>
    <row r="927" ht="15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</row>
    <row r="928" ht="15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</row>
    <row r="929" ht="15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</row>
    <row r="930" ht="15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</row>
    <row r="931" ht="15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</row>
    <row r="932" ht="15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</row>
    <row r="933" ht="15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</row>
    <row r="934" ht="15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</row>
    <row r="935" ht="15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</row>
    <row r="936" ht="15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</row>
    <row r="937" ht="15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</row>
    <row r="938" ht="15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</row>
    <row r="939" ht="15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</row>
    <row r="940" ht="15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</row>
    <row r="941" ht="15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</row>
    <row r="942" ht="15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</row>
    <row r="943" ht="15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</row>
    <row r="944" ht="15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</row>
    <row r="945" ht="15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</row>
    <row r="946" ht="15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</row>
    <row r="947" ht="15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</row>
    <row r="948" ht="15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</row>
    <row r="949" ht="15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</row>
    <row r="950" ht="15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</row>
    <row r="951" ht="15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</row>
    <row r="952" ht="15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</row>
    <row r="953" ht="15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</row>
    <row r="954" ht="15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</row>
    <row r="955" ht="15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</row>
    <row r="956" ht="15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</row>
    <row r="957" ht="15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</row>
    <row r="958" ht="15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</row>
    <row r="959" ht="15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</row>
    <row r="960" ht="15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</row>
    <row r="961" ht="15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</row>
    <row r="962" ht="15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</row>
    <row r="963" ht="15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</row>
    <row r="964" ht="15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</row>
    <row r="965" ht="15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</row>
    <row r="966" ht="15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</row>
    <row r="967" ht="15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</row>
    <row r="968" ht="15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</row>
    <row r="969" ht="15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</row>
    <row r="970" ht="15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</row>
    <row r="971" ht="15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</row>
    <row r="972" ht="15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</row>
    <row r="973" ht="15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</row>
    <row r="974" ht="15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</row>
    <row r="975" ht="15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</row>
    <row r="976" ht="15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</row>
    <row r="977" ht="15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</row>
    <row r="978" ht="15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</row>
    <row r="979" ht="15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</row>
    <row r="980" ht="15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</row>
    <row r="981" ht="15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</row>
    <row r="982" ht="15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</row>
    <row r="983" ht="15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</row>
    <row r="984" ht="15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</row>
    <row r="985" ht="15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</row>
    <row r="986" ht="15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</row>
    <row r="987" ht="15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</row>
    <row r="988" ht="15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</row>
    <row r="989" ht="15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</row>
    <row r="990" ht="15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</row>
    <row r="991" ht="15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</row>
    <row r="992" ht="15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</row>
    <row r="993" ht="15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</row>
    <row r="994" ht="15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</row>
    <row r="995" ht="15.7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</row>
    <row r="996" ht="15.7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</row>
    <row r="997" ht="15.7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</row>
    <row r="998" ht="15.7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</row>
    <row r="999" ht="15.75" customHeight="1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</row>
    <row r="1000" ht="15.75" customHeight="1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18"/>
      <c r="AC1000" s="118"/>
      <c r="AD1000" s="118"/>
    </row>
    <row r="1001" ht="15.75" customHeight="1">
      <c r="A1001" s="118"/>
      <c r="B1001" s="118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  <c r="AA1001" s="118"/>
      <c r="AB1001" s="118"/>
      <c r="AC1001" s="118"/>
      <c r="AD1001" s="118"/>
    </row>
  </sheetData>
  <mergeCells count="23">
    <mergeCell ref="B1:I1"/>
    <mergeCell ref="J1:L1"/>
    <mergeCell ref="O2:P2"/>
    <mergeCell ref="O3:P3"/>
    <mergeCell ref="O4:P4"/>
    <mergeCell ref="O5:P5"/>
    <mergeCell ref="O6:P6"/>
    <mergeCell ref="O7:P7"/>
    <mergeCell ref="O8:P8"/>
    <mergeCell ref="O10:P10"/>
    <mergeCell ref="O11:P11"/>
    <mergeCell ref="O12:P12"/>
    <mergeCell ref="O13:P13"/>
    <mergeCell ref="O14:P14"/>
    <mergeCell ref="O23:P23"/>
    <mergeCell ref="O24:P24"/>
    <mergeCell ref="O15:P15"/>
    <mergeCell ref="O16:P16"/>
    <mergeCell ref="O17:P17"/>
    <mergeCell ref="O18:P18"/>
    <mergeCell ref="N20:P20"/>
    <mergeCell ref="O21:P21"/>
    <mergeCell ref="O22:P22"/>
  </mergeCells>
  <printOptions/>
  <pageMargins bottom="1.0" footer="0.0" header="0.0" left="1.0" right="1.0" top="1.0"/>
  <pageSetup scale="10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1.43"/>
    <col customWidth="1" min="2" max="2" width="14.71"/>
    <col customWidth="1" min="3" max="3" width="13.86"/>
    <col customWidth="1" min="4" max="4" width="21.57"/>
    <col customWidth="1" min="5" max="5" width="13.29"/>
    <col customWidth="1" min="6" max="6" width="7.43"/>
    <col customWidth="1" min="7" max="7" width="13.29"/>
    <col customWidth="1" min="8" max="8" width="14.0"/>
    <col customWidth="1" min="9" max="9" width="5.86"/>
    <col customWidth="1" min="10" max="10" width="16.43"/>
    <col customWidth="1" min="11" max="11" width="8.14"/>
    <col customWidth="1" min="12" max="12" width="7.57"/>
    <col customWidth="1" min="13" max="13" width="8.14"/>
    <col customWidth="1" min="14" max="15" width="7.57"/>
    <col customWidth="1" min="16" max="16" width="24.0"/>
    <col customWidth="1" min="17" max="17" width="16.0"/>
    <col customWidth="1" min="18" max="18" width="8.86"/>
    <col customWidth="1" min="19" max="19" width="11.86"/>
    <col customWidth="1" min="20" max="33" width="8.86"/>
  </cols>
  <sheetData>
    <row r="1" ht="40.5" customHeight="1">
      <c r="A1" s="119"/>
      <c r="B1" s="2" t="s">
        <v>444</v>
      </c>
      <c r="C1" s="3"/>
      <c r="D1" s="3"/>
      <c r="E1" s="3"/>
      <c r="F1" s="3"/>
      <c r="G1" s="3"/>
      <c r="H1" s="3"/>
      <c r="I1" s="3"/>
      <c r="J1" s="4"/>
      <c r="K1" s="5" t="s">
        <v>1</v>
      </c>
      <c r="L1" s="3"/>
      <c r="M1" s="4"/>
      <c r="N1" s="6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</row>
    <row r="2" ht="37.5" customHeight="1">
      <c r="A2" s="8" t="s">
        <v>2</v>
      </c>
      <c r="B2" s="11" t="s">
        <v>3</v>
      </c>
      <c r="C2" s="218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3" t="s">
        <v>12</v>
      </c>
      <c r="L2" s="13" t="s">
        <v>13</v>
      </c>
      <c r="M2" s="159" t="s">
        <v>14</v>
      </c>
      <c r="N2" s="14" t="s">
        <v>15</v>
      </c>
      <c r="O2" s="219" t="s">
        <v>16</v>
      </c>
      <c r="P2" s="220"/>
      <c r="Q2" s="221" t="s">
        <v>17</v>
      </c>
      <c r="R2" s="124" t="s">
        <v>18</v>
      </c>
      <c r="S2" s="53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</row>
    <row r="3" outlineLevel="1">
      <c r="A3" s="19" t="b">
        <v>0</v>
      </c>
      <c r="B3" s="125" t="s">
        <v>445</v>
      </c>
      <c r="C3" s="126" t="s">
        <v>20</v>
      </c>
      <c r="D3" s="125" t="s">
        <v>21</v>
      </c>
      <c r="E3" s="125">
        <v>3.0</v>
      </c>
      <c r="F3" s="125">
        <v>2.0</v>
      </c>
      <c r="G3" s="125" t="s">
        <v>70</v>
      </c>
      <c r="H3" s="125" t="s">
        <v>23</v>
      </c>
      <c r="I3" s="125" t="s">
        <v>23</v>
      </c>
      <c r="J3" s="208">
        <v>45791.0</v>
      </c>
      <c r="K3" s="19" t="b">
        <v>1</v>
      </c>
      <c r="L3" s="19" t="b">
        <v>1</v>
      </c>
      <c r="M3" s="19" t="b">
        <v>1</v>
      </c>
      <c r="N3" s="222" t="b">
        <v>1</v>
      </c>
      <c r="O3" s="222" t="b">
        <v>1</v>
      </c>
      <c r="P3" s="125"/>
      <c r="Q3" s="125" t="s">
        <v>27</v>
      </c>
      <c r="R3" s="127" t="s">
        <v>28</v>
      </c>
      <c r="S3" s="33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</row>
    <row r="4" outlineLevel="1">
      <c r="A4" s="19" t="b">
        <v>0</v>
      </c>
      <c r="B4" s="140" t="s">
        <v>446</v>
      </c>
      <c r="C4" s="86" t="s">
        <v>82</v>
      </c>
      <c r="D4" s="140" t="s">
        <v>21</v>
      </c>
      <c r="E4" s="140">
        <v>1.0</v>
      </c>
      <c r="F4" s="140">
        <v>1.0</v>
      </c>
      <c r="G4" s="140" t="s">
        <v>22</v>
      </c>
      <c r="H4" s="140" t="s">
        <v>23</v>
      </c>
      <c r="I4" s="140" t="s">
        <v>23</v>
      </c>
      <c r="J4" s="223">
        <v>45884.0</v>
      </c>
      <c r="K4" s="106" t="b">
        <v>1</v>
      </c>
      <c r="L4" s="106" t="b">
        <v>0</v>
      </c>
      <c r="M4" s="106" t="b">
        <v>1</v>
      </c>
      <c r="N4" s="106" t="b">
        <v>1</v>
      </c>
      <c r="O4" s="106" t="b">
        <v>0</v>
      </c>
      <c r="P4" s="35" t="s">
        <v>447</v>
      </c>
      <c r="Q4" s="34" t="s">
        <v>128</v>
      </c>
      <c r="R4" s="129" t="s">
        <v>141</v>
      </c>
      <c r="S4" s="39"/>
      <c r="T4" s="118"/>
      <c r="U4" s="224" t="s">
        <v>448</v>
      </c>
      <c r="V4" s="225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</row>
    <row r="5" outlineLevel="1">
      <c r="A5" s="106" t="b">
        <v>0</v>
      </c>
      <c r="B5" s="86" t="s">
        <v>449</v>
      </c>
      <c r="C5" s="86" t="s">
        <v>20</v>
      </c>
      <c r="D5" s="86" t="s">
        <v>285</v>
      </c>
      <c r="E5" s="86">
        <v>2.0</v>
      </c>
      <c r="F5" s="86">
        <v>1.0</v>
      </c>
      <c r="G5" s="86" t="s">
        <v>22</v>
      </c>
      <c r="H5" s="86" t="s">
        <v>23</v>
      </c>
      <c r="I5" s="86" t="s">
        <v>23</v>
      </c>
      <c r="J5" s="213" t="s">
        <v>46</v>
      </c>
      <c r="K5" s="106" t="b">
        <v>0</v>
      </c>
      <c r="L5" s="106" t="b">
        <v>0</v>
      </c>
      <c r="M5" s="106" t="b">
        <v>0</v>
      </c>
      <c r="N5" s="106" t="b">
        <v>0</v>
      </c>
      <c r="O5" s="106" t="b">
        <v>0</v>
      </c>
      <c r="P5" s="140"/>
      <c r="Q5" s="140" t="s">
        <v>34</v>
      </c>
      <c r="R5" s="189" t="s">
        <v>35</v>
      </c>
      <c r="S5" s="39"/>
      <c r="T5" s="175"/>
      <c r="U5" s="226" t="s">
        <v>448</v>
      </c>
      <c r="V5" s="227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</row>
    <row r="6" outlineLevel="1">
      <c r="A6" s="19" t="b">
        <v>0</v>
      </c>
      <c r="B6" s="34" t="s">
        <v>450</v>
      </c>
      <c r="C6" s="35" t="s">
        <v>26</v>
      </c>
      <c r="D6" s="35" t="s">
        <v>451</v>
      </c>
      <c r="E6" s="35">
        <v>4.5</v>
      </c>
      <c r="F6" s="34">
        <v>2.0</v>
      </c>
      <c r="G6" s="34" t="s">
        <v>320</v>
      </c>
      <c r="H6" s="34" t="s">
        <v>31</v>
      </c>
      <c r="I6" s="34" t="s">
        <v>31</v>
      </c>
      <c r="J6" s="214">
        <v>45798.0</v>
      </c>
      <c r="K6" s="19" t="b">
        <v>1</v>
      </c>
      <c r="L6" s="19" t="b">
        <v>1</v>
      </c>
      <c r="M6" s="19" t="b">
        <v>1</v>
      </c>
      <c r="N6" s="19" t="b">
        <v>1</v>
      </c>
      <c r="O6" s="19" t="b">
        <v>1</v>
      </c>
      <c r="P6" s="228" t="s">
        <v>452</v>
      </c>
      <c r="Q6" s="34" t="s">
        <v>39</v>
      </c>
      <c r="R6" s="129" t="s">
        <v>40</v>
      </c>
      <c r="S6" s="39"/>
      <c r="T6" s="118"/>
      <c r="U6" s="229" t="s">
        <v>453</v>
      </c>
      <c r="V6" s="230" t="s">
        <v>454</v>
      </c>
      <c r="W6" s="130" t="s">
        <v>455</v>
      </c>
    </row>
    <row r="7" outlineLevel="1">
      <c r="A7" s="19" t="b">
        <v>0</v>
      </c>
      <c r="B7" s="34" t="s">
        <v>454</v>
      </c>
      <c r="C7" s="35" t="s">
        <v>26</v>
      </c>
      <c r="D7" s="34" t="s">
        <v>156</v>
      </c>
      <c r="E7" s="34">
        <v>1.0</v>
      </c>
      <c r="F7" s="34">
        <v>1.0</v>
      </c>
      <c r="G7" s="34" t="s">
        <v>27</v>
      </c>
      <c r="H7" s="34" t="s">
        <v>31</v>
      </c>
      <c r="I7" s="34" t="s">
        <v>23</v>
      </c>
      <c r="J7" s="214">
        <v>45797.0</v>
      </c>
      <c r="K7" s="19" t="b">
        <v>1</v>
      </c>
      <c r="L7" s="19" t="b">
        <v>0</v>
      </c>
      <c r="M7" s="19" t="b">
        <v>0</v>
      </c>
      <c r="N7" s="19" t="b">
        <v>0</v>
      </c>
      <c r="O7" s="19" t="b">
        <v>0</v>
      </c>
      <c r="P7" s="231"/>
      <c r="Q7" s="34" t="s">
        <v>42</v>
      </c>
      <c r="R7" s="129" t="s">
        <v>43</v>
      </c>
      <c r="S7" s="39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</row>
    <row r="8" outlineLevel="1">
      <c r="A8" s="19" t="b">
        <v>0</v>
      </c>
      <c r="B8" s="140" t="s">
        <v>456</v>
      </c>
      <c r="C8" s="86" t="s">
        <v>20</v>
      </c>
      <c r="D8" s="140" t="s">
        <v>21</v>
      </c>
      <c r="E8" s="140">
        <v>3.5</v>
      </c>
      <c r="F8" s="140">
        <v>2.0</v>
      </c>
      <c r="G8" s="140" t="s">
        <v>30</v>
      </c>
      <c r="H8" s="140" t="s">
        <v>23</v>
      </c>
      <c r="I8" s="140" t="s">
        <v>23</v>
      </c>
      <c r="J8" s="232">
        <v>45877.0</v>
      </c>
      <c r="K8" s="106" t="b">
        <v>1</v>
      </c>
      <c r="L8" s="106" t="b">
        <v>1</v>
      </c>
      <c r="M8" s="106" t="b">
        <v>1</v>
      </c>
      <c r="N8" s="106" t="b">
        <v>1</v>
      </c>
      <c r="O8" s="106" t="b">
        <v>0</v>
      </c>
      <c r="P8" s="228" t="s">
        <v>457</v>
      </c>
      <c r="Q8" s="50" t="s">
        <v>47</v>
      </c>
      <c r="R8" s="51" t="s">
        <v>48</v>
      </c>
      <c r="S8" s="39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</row>
    <row r="9" outlineLevel="1">
      <c r="A9" s="19" t="b">
        <v>0</v>
      </c>
      <c r="B9" s="67" t="s">
        <v>458</v>
      </c>
      <c r="C9" s="67" t="s">
        <v>20</v>
      </c>
      <c r="D9" s="67" t="s">
        <v>21</v>
      </c>
      <c r="E9" s="67">
        <v>2.0</v>
      </c>
      <c r="F9" s="67">
        <v>2.0</v>
      </c>
      <c r="G9" s="233" t="s">
        <v>459</v>
      </c>
      <c r="H9" s="234"/>
      <c r="I9" s="234"/>
      <c r="J9" s="235">
        <v>45884.0</v>
      </c>
      <c r="K9" s="19" t="b">
        <v>0</v>
      </c>
      <c r="L9" s="19" t="b">
        <v>0</v>
      </c>
      <c r="M9" s="19" t="b">
        <v>0</v>
      </c>
      <c r="N9" s="19" t="b">
        <v>0</v>
      </c>
      <c r="O9" s="19" t="b">
        <v>0</v>
      </c>
      <c r="P9" s="236" t="s">
        <v>460</v>
      </c>
      <c r="Q9" s="50"/>
      <c r="R9" s="51"/>
      <c r="S9" s="39"/>
      <c r="T9" s="118"/>
      <c r="U9" s="224" t="s">
        <v>461</v>
      </c>
      <c r="V9" s="225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</row>
    <row r="10" outlineLevel="1">
      <c r="A10" s="19" t="b">
        <v>0</v>
      </c>
      <c r="B10" s="34" t="s">
        <v>462</v>
      </c>
      <c r="C10" s="35" t="s">
        <v>20</v>
      </c>
      <c r="D10" s="34" t="s">
        <v>21</v>
      </c>
      <c r="E10" s="34">
        <v>2.5</v>
      </c>
      <c r="F10" s="34">
        <v>2.0</v>
      </c>
      <c r="G10" s="34" t="s">
        <v>463</v>
      </c>
      <c r="H10" s="34" t="s">
        <v>23</v>
      </c>
      <c r="I10" s="34" t="s">
        <v>23</v>
      </c>
      <c r="J10" s="214">
        <v>45814.0</v>
      </c>
      <c r="K10" s="19" t="b">
        <v>1</v>
      </c>
      <c r="L10" s="19" t="b">
        <v>1</v>
      </c>
      <c r="M10" s="19" t="b">
        <v>1</v>
      </c>
      <c r="N10" s="19" t="b">
        <v>1</v>
      </c>
      <c r="O10" s="19" t="b">
        <v>1</v>
      </c>
      <c r="P10" s="228" t="s">
        <v>51</v>
      </c>
      <c r="Q10" s="118"/>
      <c r="R10" s="118"/>
      <c r="S10" s="118"/>
      <c r="T10" s="118"/>
      <c r="U10" s="237" t="s">
        <v>464</v>
      </c>
      <c r="V10" s="238" t="s">
        <v>462</v>
      </c>
      <c r="W10" s="239" t="s">
        <v>465</v>
      </c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</row>
    <row r="11" outlineLevel="1">
      <c r="A11" s="19" t="b">
        <v>1</v>
      </c>
      <c r="B11" s="34" t="s">
        <v>54</v>
      </c>
      <c r="C11" s="35" t="s">
        <v>20</v>
      </c>
      <c r="D11" s="34" t="s">
        <v>415</v>
      </c>
      <c r="E11" s="34">
        <v>1.5</v>
      </c>
      <c r="F11" s="34">
        <v>2.0</v>
      </c>
      <c r="G11" s="34" t="s">
        <v>326</v>
      </c>
      <c r="H11" s="34" t="s">
        <v>31</v>
      </c>
      <c r="I11" s="34" t="s">
        <v>23</v>
      </c>
      <c r="J11" s="149">
        <v>45882.0</v>
      </c>
      <c r="K11" s="19" t="b">
        <v>1</v>
      </c>
      <c r="L11" s="19" t="b">
        <v>0</v>
      </c>
      <c r="M11" s="19" t="b">
        <v>0</v>
      </c>
      <c r="N11" s="19" t="b">
        <v>0</v>
      </c>
      <c r="O11" s="19" t="b">
        <v>0</v>
      </c>
      <c r="P11" s="240" t="s">
        <v>466</v>
      </c>
      <c r="Q11" s="16" t="s">
        <v>154</v>
      </c>
      <c r="R11" s="17" t="s">
        <v>52</v>
      </c>
      <c r="S11" s="53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</row>
    <row r="12" ht="15.0" customHeight="1" outlineLevel="1">
      <c r="A12" s="19" t="b">
        <v>0</v>
      </c>
      <c r="B12" s="34" t="s">
        <v>467</v>
      </c>
      <c r="C12" s="35" t="s">
        <v>20</v>
      </c>
      <c r="D12" s="34" t="s">
        <v>415</v>
      </c>
      <c r="E12" s="34">
        <v>2.0</v>
      </c>
      <c r="F12" s="34">
        <v>1.0</v>
      </c>
      <c r="G12" s="34" t="s">
        <v>326</v>
      </c>
      <c r="H12" s="34" t="s">
        <v>31</v>
      </c>
      <c r="I12" s="34" t="s">
        <v>23</v>
      </c>
      <c r="J12" s="214">
        <v>45783.0</v>
      </c>
      <c r="K12" s="19" t="b">
        <v>1</v>
      </c>
      <c r="L12" s="19" t="b">
        <v>1</v>
      </c>
      <c r="M12" s="19" t="b">
        <v>1</v>
      </c>
      <c r="N12" s="19" t="b">
        <v>1</v>
      </c>
      <c r="O12" s="19"/>
      <c r="P12" s="60"/>
      <c r="Q12" s="60" t="s">
        <v>57</v>
      </c>
      <c r="R12" s="61" t="s">
        <v>58</v>
      </c>
      <c r="S12" s="33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</row>
    <row r="13" ht="30.75" customHeight="1" outlineLevel="1">
      <c r="A13" s="19" t="b">
        <v>0</v>
      </c>
      <c r="B13" s="34" t="s">
        <v>468</v>
      </c>
      <c r="C13" s="35" t="s">
        <v>20</v>
      </c>
      <c r="D13" s="34" t="s">
        <v>21</v>
      </c>
      <c r="E13" s="34">
        <v>1.5</v>
      </c>
      <c r="F13" s="34">
        <v>1.0</v>
      </c>
      <c r="G13" s="34" t="s">
        <v>22</v>
      </c>
      <c r="H13" s="34" t="s">
        <v>23</v>
      </c>
      <c r="I13" s="34" t="s">
        <v>23</v>
      </c>
      <c r="J13" s="214">
        <v>45806.0</v>
      </c>
      <c r="K13" s="19" t="b">
        <v>1</v>
      </c>
      <c r="L13" s="19" t="b">
        <v>1</v>
      </c>
      <c r="M13" s="19" t="b">
        <v>1</v>
      </c>
      <c r="N13" s="19" t="b">
        <v>1</v>
      </c>
      <c r="O13" s="19" t="b">
        <v>1</v>
      </c>
      <c r="P13" s="135"/>
      <c r="Q13" s="135" t="s">
        <v>334</v>
      </c>
      <c r="R13" s="75" t="s">
        <v>335</v>
      </c>
      <c r="S13" s="39"/>
      <c r="T13" s="118"/>
      <c r="U13" s="118"/>
      <c r="V13" s="118"/>
      <c r="W13" s="118"/>
      <c r="X13" s="241"/>
      <c r="Y13" s="118"/>
      <c r="Z13" s="118"/>
      <c r="AA13" s="118"/>
      <c r="AB13" s="118"/>
      <c r="AC13" s="118"/>
      <c r="AD13" s="118"/>
      <c r="AE13" s="118"/>
      <c r="AF13" s="118"/>
      <c r="AG13" s="118"/>
    </row>
    <row r="14" ht="15.0" customHeight="1" outlineLevel="1">
      <c r="A14" s="19" t="b">
        <v>0</v>
      </c>
      <c r="B14" s="34" t="s">
        <v>469</v>
      </c>
      <c r="C14" s="35" t="s">
        <v>20</v>
      </c>
      <c r="D14" s="34" t="s">
        <v>470</v>
      </c>
      <c r="E14" s="34">
        <v>2.0</v>
      </c>
      <c r="F14" s="34">
        <v>1.0</v>
      </c>
      <c r="G14" s="34" t="s">
        <v>326</v>
      </c>
      <c r="H14" s="34" t="s">
        <v>23</v>
      </c>
      <c r="I14" s="34" t="s">
        <v>31</v>
      </c>
      <c r="J14" s="149">
        <v>45776.0</v>
      </c>
      <c r="K14" s="19" t="b">
        <v>1</v>
      </c>
      <c r="L14" s="19" t="b">
        <v>0</v>
      </c>
      <c r="M14" s="19" t="b">
        <v>0</v>
      </c>
      <c r="N14" s="19" t="b">
        <v>0</v>
      </c>
      <c r="O14" s="19" t="b">
        <v>0</v>
      </c>
      <c r="P14" s="65"/>
      <c r="Q14" s="65" t="s">
        <v>62</v>
      </c>
      <c r="R14" s="66" t="s">
        <v>58</v>
      </c>
      <c r="S14" s="33"/>
      <c r="T14" s="118"/>
      <c r="U14" s="118"/>
      <c r="V14" s="118"/>
      <c r="W14" s="118"/>
      <c r="X14" s="242"/>
      <c r="Y14" s="118"/>
      <c r="Z14" s="118"/>
      <c r="AA14" s="118"/>
      <c r="AB14" s="118"/>
      <c r="AC14" s="118"/>
      <c r="AD14" s="118"/>
      <c r="AE14" s="118"/>
      <c r="AF14" s="118"/>
      <c r="AG14" s="118"/>
    </row>
    <row r="15" outlineLevel="1">
      <c r="A15" s="19" t="b">
        <v>1</v>
      </c>
      <c r="B15" s="34" t="s">
        <v>471</v>
      </c>
      <c r="C15" s="35" t="s">
        <v>20</v>
      </c>
      <c r="D15" s="34" t="s">
        <v>21</v>
      </c>
      <c r="E15" s="34">
        <v>8.0</v>
      </c>
      <c r="F15" s="34">
        <v>2.0</v>
      </c>
      <c r="G15" s="34" t="s">
        <v>45</v>
      </c>
      <c r="H15" s="34" t="s">
        <v>31</v>
      </c>
      <c r="I15" s="34" t="s">
        <v>31</v>
      </c>
      <c r="J15" s="214">
        <v>45813.0</v>
      </c>
      <c r="K15" s="19" t="b">
        <v>1</v>
      </c>
      <c r="L15" s="19" t="b">
        <v>1</v>
      </c>
      <c r="M15" s="19" t="b">
        <v>1</v>
      </c>
      <c r="N15" s="19" t="b">
        <v>1</v>
      </c>
      <c r="O15" s="19" t="b">
        <v>1</v>
      </c>
      <c r="P15" s="65"/>
      <c r="Q15" s="65" t="s">
        <v>66</v>
      </c>
      <c r="R15" s="69" t="s">
        <v>67</v>
      </c>
      <c r="S15" s="39"/>
      <c r="T15" s="118"/>
      <c r="U15" s="130">
        <v>0.01</v>
      </c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</row>
    <row r="16" outlineLevel="1">
      <c r="A16" s="19" t="b">
        <v>0</v>
      </c>
      <c r="B16" s="34" t="s">
        <v>472</v>
      </c>
      <c r="C16" s="35" t="s">
        <v>20</v>
      </c>
      <c r="D16" s="34" t="s">
        <v>21</v>
      </c>
      <c r="E16" s="34">
        <v>3.0</v>
      </c>
      <c r="F16" s="34">
        <v>1.0</v>
      </c>
      <c r="G16" s="34" t="s">
        <v>22</v>
      </c>
      <c r="H16" s="34" t="s">
        <v>23</v>
      </c>
      <c r="I16" s="34" t="s">
        <v>23</v>
      </c>
      <c r="J16" s="214">
        <v>45813.0</v>
      </c>
      <c r="K16" s="19" t="b">
        <v>1</v>
      </c>
      <c r="L16" s="19" t="b">
        <v>1</v>
      </c>
      <c r="M16" s="19" t="b">
        <v>1</v>
      </c>
      <c r="N16" s="19" t="b">
        <v>1</v>
      </c>
      <c r="O16" s="19" t="b">
        <v>1</v>
      </c>
      <c r="P16" s="192"/>
      <c r="Q16" s="192" t="s">
        <v>343</v>
      </c>
      <c r="R16" s="193" t="s">
        <v>58</v>
      </c>
      <c r="S16" s="39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</row>
    <row r="17" outlineLevel="1">
      <c r="A17" s="19" t="b">
        <v>0</v>
      </c>
      <c r="B17" s="35" t="s">
        <v>473</v>
      </c>
      <c r="C17" s="35" t="s">
        <v>20</v>
      </c>
      <c r="D17" s="35" t="s">
        <v>474</v>
      </c>
      <c r="E17" s="35">
        <v>1.0</v>
      </c>
      <c r="F17" s="35">
        <v>1.0</v>
      </c>
      <c r="G17" s="35" t="s">
        <v>475</v>
      </c>
      <c r="H17" s="35" t="s">
        <v>31</v>
      </c>
      <c r="I17" s="35" t="s">
        <v>31</v>
      </c>
      <c r="J17" s="214">
        <v>45799.0</v>
      </c>
      <c r="K17" s="19" t="b">
        <v>1</v>
      </c>
      <c r="L17" s="19" t="b">
        <v>1</v>
      </c>
      <c r="M17" s="19" t="b">
        <v>1</v>
      </c>
      <c r="N17" s="19" t="b">
        <v>1</v>
      </c>
      <c r="O17" s="19" t="b">
        <v>1</v>
      </c>
      <c r="P17" s="65"/>
      <c r="Q17" s="65" t="s">
        <v>345</v>
      </c>
      <c r="R17" s="193" t="s">
        <v>42</v>
      </c>
      <c r="S17" s="39"/>
      <c r="T17" s="118"/>
      <c r="U17" s="130" t="s">
        <v>51</v>
      </c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</row>
    <row r="18" ht="40.5" customHeight="1" outlineLevel="1">
      <c r="A18" s="19" t="b">
        <v>0</v>
      </c>
      <c r="B18" s="34" t="s">
        <v>476</v>
      </c>
      <c r="C18" s="35" t="s">
        <v>20</v>
      </c>
      <c r="D18" s="34" t="s">
        <v>21</v>
      </c>
      <c r="E18" s="34">
        <v>12.0</v>
      </c>
      <c r="F18" s="34">
        <v>2.0</v>
      </c>
      <c r="G18" s="34" t="s">
        <v>58</v>
      </c>
      <c r="H18" s="34" t="s">
        <v>31</v>
      </c>
      <c r="I18" s="34" t="s">
        <v>31</v>
      </c>
      <c r="J18" s="40" t="s">
        <v>477</v>
      </c>
      <c r="K18" s="19" t="b">
        <v>1</v>
      </c>
      <c r="L18" s="19" t="b">
        <v>1</v>
      </c>
      <c r="M18" s="19" t="b">
        <v>1</v>
      </c>
      <c r="N18" s="19" t="b">
        <v>1</v>
      </c>
      <c r="O18" s="19" t="b">
        <v>1</v>
      </c>
      <c r="P18" s="65"/>
      <c r="Q18" s="65" t="s">
        <v>71</v>
      </c>
      <c r="R18" s="72" t="s">
        <v>58</v>
      </c>
      <c r="S18" s="39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</row>
    <row r="19" outlineLevel="1">
      <c r="A19" s="19" t="b">
        <v>0</v>
      </c>
      <c r="B19" s="140" t="s">
        <v>478</v>
      </c>
      <c r="C19" s="86" t="s">
        <v>26</v>
      </c>
      <c r="D19" s="86" t="s">
        <v>479</v>
      </c>
      <c r="E19" s="86">
        <v>2.5</v>
      </c>
      <c r="F19" s="140">
        <v>2.0</v>
      </c>
      <c r="G19" s="140" t="s">
        <v>226</v>
      </c>
      <c r="H19" s="140" t="s">
        <v>31</v>
      </c>
      <c r="I19" s="140" t="s">
        <v>31</v>
      </c>
      <c r="J19" s="105" t="s">
        <v>46</v>
      </c>
      <c r="K19" s="19" t="b">
        <v>0</v>
      </c>
      <c r="L19" s="19" t="b">
        <v>0</v>
      </c>
      <c r="M19" s="19" t="b">
        <v>0</v>
      </c>
      <c r="N19" s="19" t="b">
        <v>0</v>
      </c>
      <c r="O19" s="19" t="b">
        <v>0</v>
      </c>
      <c r="P19" s="50"/>
      <c r="Q19" s="50" t="s">
        <v>74</v>
      </c>
      <c r="R19" s="75" t="s">
        <v>50</v>
      </c>
      <c r="S19" s="39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</row>
    <row r="20" outlineLevel="1">
      <c r="A20" s="19" t="b">
        <v>0</v>
      </c>
      <c r="B20" s="34" t="s">
        <v>480</v>
      </c>
      <c r="C20" s="35" t="s">
        <v>20</v>
      </c>
      <c r="D20" s="34" t="s">
        <v>21</v>
      </c>
      <c r="E20" s="34">
        <v>1.5</v>
      </c>
      <c r="F20" s="34">
        <v>1.0</v>
      </c>
      <c r="G20" s="34" t="s">
        <v>22</v>
      </c>
      <c r="H20" s="34" t="s">
        <v>23</v>
      </c>
      <c r="I20" s="34" t="s">
        <v>23</v>
      </c>
      <c r="J20" s="149">
        <v>45819.0</v>
      </c>
      <c r="K20" s="19" t="b">
        <v>1</v>
      </c>
      <c r="L20" s="19" t="b">
        <v>0</v>
      </c>
      <c r="M20" s="19" t="b">
        <v>1</v>
      </c>
      <c r="N20" s="19" t="b">
        <v>1</v>
      </c>
      <c r="O20" s="19" t="b">
        <v>0</v>
      </c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</row>
    <row r="21" outlineLevel="1">
      <c r="A21" s="19" t="b">
        <v>0</v>
      </c>
      <c r="B21" s="34" t="s">
        <v>481</v>
      </c>
      <c r="C21" s="35" t="s">
        <v>20</v>
      </c>
      <c r="D21" s="34" t="s">
        <v>21</v>
      </c>
      <c r="E21" s="34">
        <v>0.5</v>
      </c>
      <c r="F21" s="34">
        <v>1.0</v>
      </c>
      <c r="G21" s="34" t="s">
        <v>34</v>
      </c>
      <c r="H21" s="34" t="s">
        <v>23</v>
      </c>
      <c r="I21" s="34" t="s">
        <v>23</v>
      </c>
      <c r="J21" s="149">
        <v>45819.0</v>
      </c>
      <c r="K21" s="19" t="b">
        <v>1</v>
      </c>
      <c r="L21" s="19" t="b">
        <v>0</v>
      </c>
      <c r="M21" s="19" t="b">
        <v>1</v>
      </c>
      <c r="N21" s="19" t="b">
        <v>1</v>
      </c>
      <c r="O21" s="19" t="b">
        <v>0</v>
      </c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</row>
    <row r="22" outlineLevel="1">
      <c r="A22" s="19" t="b">
        <v>0</v>
      </c>
      <c r="B22" s="34" t="s">
        <v>482</v>
      </c>
      <c r="C22" s="35" t="s">
        <v>483</v>
      </c>
      <c r="D22" s="34" t="s">
        <v>21</v>
      </c>
      <c r="E22" s="34">
        <v>24.0</v>
      </c>
      <c r="F22" s="34">
        <v>2.0</v>
      </c>
      <c r="G22" s="34" t="s">
        <v>45</v>
      </c>
      <c r="H22" s="34" t="s">
        <v>31</v>
      </c>
      <c r="I22" s="34" t="s">
        <v>31</v>
      </c>
      <c r="J22" s="40" t="s">
        <v>484</v>
      </c>
      <c r="K22" s="19" t="b">
        <v>1</v>
      </c>
      <c r="L22" s="19" t="b">
        <v>1</v>
      </c>
      <c r="M22" s="19" t="b">
        <v>1</v>
      </c>
      <c r="N22" s="19" t="b">
        <v>1</v>
      </c>
      <c r="O22" s="19" t="b">
        <v>1</v>
      </c>
      <c r="P22" s="243"/>
      <c r="Q22" s="243"/>
      <c r="R22" s="243"/>
      <c r="S22" s="243"/>
      <c r="U22" s="80"/>
      <c r="V22" s="73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</row>
    <row r="23" outlineLevel="1">
      <c r="A23" s="19" t="b">
        <v>1</v>
      </c>
      <c r="B23" s="34" t="s">
        <v>485</v>
      </c>
      <c r="C23" s="35" t="s">
        <v>20</v>
      </c>
      <c r="D23" s="34" t="s">
        <v>21</v>
      </c>
      <c r="E23" s="34">
        <v>2.0</v>
      </c>
      <c r="F23" s="34">
        <v>2.0</v>
      </c>
      <c r="G23" s="34" t="s">
        <v>70</v>
      </c>
      <c r="H23" s="34" t="s">
        <v>23</v>
      </c>
      <c r="I23" s="34" t="s">
        <v>23</v>
      </c>
      <c r="J23" s="40" t="s">
        <v>486</v>
      </c>
      <c r="K23" s="19" t="b">
        <v>1</v>
      </c>
      <c r="L23" s="19" t="b">
        <v>1</v>
      </c>
      <c r="M23" s="19" t="b">
        <v>1</v>
      </c>
      <c r="N23" s="19" t="b">
        <v>1</v>
      </c>
      <c r="O23" s="19" t="b">
        <v>0</v>
      </c>
      <c r="P23" s="244"/>
      <c r="Q23" s="77" t="s">
        <v>79</v>
      </c>
      <c r="R23" s="78"/>
      <c r="S23" s="79"/>
      <c r="U23" s="80" t="s">
        <v>80</v>
      </c>
      <c r="V23" s="73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</row>
    <row r="24" ht="27.75" customHeight="1" outlineLevel="1">
      <c r="A24" s="19" t="b">
        <v>0</v>
      </c>
      <c r="B24" s="34" t="s">
        <v>487</v>
      </c>
      <c r="C24" s="35" t="s">
        <v>77</v>
      </c>
      <c r="D24" s="34" t="s">
        <v>275</v>
      </c>
      <c r="E24" s="34">
        <v>6.0</v>
      </c>
      <c r="F24" s="34">
        <v>2.0</v>
      </c>
      <c r="G24" s="34" t="s">
        <v>226</v>
      </c>
      <c r="H24" s="34" t="s">
        <v>31</v>
      </c>
      <c r="I24" s="34" t="s">
        <v>31</v>
      </c>
      <c r="J24" s="214">
        <v>45811.0</v>
      </c>
      <c r="K24" s="19" t="b">
        <v>1</v>
      </c>
      <c r="L24" s="19" t="b">
        <v>1</v>
      </c>
      <c r="M24" s="19" t="b">
        <v>1</v>
      </c>
      <c r="N24" s="19" t="b">
        <v>1</v>
      </c>
      <c r="O24" s="19" t="b">
        <v>1</v>
      </c>
      <c r="P24" s="245"/>
      <c r="Q24" s="81" t="s">
        <v>83</v>
      </c>
      <c r="R24" s="82" t="s">
        <v>84</v>
      </c>
      <c r="S24" s="83"/>
      <c r="T24" s="84" t="s">
        <v>85</v>
      </c>
      <c r="U24" s="85" t="s">
        <v>86</v>
      </c>
      <c r="V24" s="73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</row>
    <row r="25" ht="34.5" customHeight="1" outlineLevel="1">
      <c r="A25" s="19" t="b">
        <v>1</v>
      </c>
      <c r="B25" s="34" t="s">
        <v>488</v>
      </c>
      <c r="C25" s="35" t="s">
        <v>20</v>
      </c>
      <c r="D25" s="34" t="s">
        <v>21</v>
      </c>
      <c r="E25" s="34">
        <v>8.0</v>
      </c>
      <c r="F25" s="34">
        <v>2.0</v>
      </c>
      <c r="G25" s="34" t="s">
        <v>58</v>
      </c>
      <c r="H25" s="34" t="s">
        <v>31</v>
      </c>
      <c r="I25" s="34" t="s">
        <v>31</v>
      </c>
      <c r="J25" s="40" t="s">
        <v>489</v>
      </c>
      <c r="K25" s="19" t="b">
        <v>1</v>
      </c>
      <c r="L25" s="19" t="b">
        <v>0</v>
      </c>
      <c r="M25" s="19" t="b">
        <v>0</v>
      </c>
      <c r="N25" s="19" t="b">
        <v>0</v>
      </c>
      <c r="O25" s="19" t="b">
        <v>0</v>
      </c>
      <c r="P25" s="245"/>
      <c r="Q25" s="89" t="s">
        <v>90</v>
      </c>
      <c r="R25" s="82" t="s">
        <v>91</v>
      </c>
      <c r="S25" s="83"/>
      <c r="T25" s="84" t="s">
        <v>85</v>
      </c>
      <c r="U25" s="85" t="s">
        <v>86</v>
      </c>
      <c r="V25" s="73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</row>
    <row r="26" ht="44.25" customHeight="1" outlineLevel="1">
      <c r="A26" s="19" t="b">
        <v>0</v>
      </c>
      <c r="B26" s="140" t="s">
        <v>490</v>
      </c>
      <c r="C26" s="86" t="s">
        <v>20</v>
      </c>
      <c r="D26" s="140" t="s">
        <v>21</v>
      </c>
      <c r="E26" s="140">
        <v>3.0</v>
      </c>
      <c r="F26" s="140">
        <v>1.0</v>
      </c>
      <c r="G26" s="140" t="s">
        <v>45</v>
      </c>
      <c r="H26" s="140" t="s">
        <v>23</v>
      </c>
      <c r="I26" s="140" t="s">
        <v>23</v>
      </c>
      <c r="J26" s="246">
        <v>45817.0</v>
      </c>
      <c r="K26" s="106" t="b">
        <v>1</v>
      </c>
      <c r="L26" s="106" t="b">
        <v>1</v>
      </c>
      <c r="M26" s="106" t="b">
        <v>1</v>
      </c>
      <c r="N26" s="106" t="b">
        <v>1</v>
      </c>
      <c r="O26" s="19" t="b">
        <v>1</v>
      </c>
      <c r="P26" s="247" t="s">
        <v>491</v>
      </c>
      <c r="Q26" s="91" t="s">
        <v>92</v>
      </c>
      <c r="R26" s="82" t="s">
        <v>93</v>
      </c>
      <c r="S26" s="83"/>
      <c r="T26" s="84" t="s">
        <v>85</v>
      </c>
      <c r="U26" s="85" t="s">
        <v>94</v>
      </c>
      <c r="V26" s="73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</row>
    <row r="27" ht="27.0" customHeight="1" outlineLevel="1">
      <c r="A27" s="19" t="b">
        <v>0</v>
      </c>
      <c r="B27" s="34" t="s">
        <v>492</v>
      </c>
      <c r="C27" s="35" t="s">
        <v>20</v>
      </c>
      <c r="D27" s="34" t="s">
        <v>21</v>
      </c>
      <c r="E27" s="34">
        <v>5.0</v>
      </c>
      <c r="F27" s="34">
        <v>2.0</v>
      </c>
      <c r="G27" s="34" t="s">
        <v>45</v>
      </c>
      <c r="H27" s="34" t="s">
        <v>31</v>
      </c>
      <c r="I27" s="34" t="s">
        <v>31</v>
      </c>
      <c r="J27" s="214">
        <v>45806.0</v>
      </c>
      <c r="K27" s="19" t="b">
        <v>1</v>
      </c>
      <c r="L27" s="19" t="b">
        <v>1</v>
      </c>
      <c r="M27" s="19" t="b">
        <v>1</v>
      </c>
      <c r="N27" s="19" t="b">
        <v>1</v>
      </c>
      <c r="O27" s="19" t="b">
        <v>1</v>
      </c>
      <c r="P27" s="248"/>
      <c r="Q27" s="93" t="s">
        <v>97</v>
      </c>
      <c r="R27" s="94" t="s">
        <v>98</v>
      </c>
      <c r="S27" s="95"/>
      <c r="T27" s="84" t="s">
        <v>85</v>
      </c>
      <c r="U27" s="85" t="s">
        <v>94</v>
      </c>
      <c r="V27" s="73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</row>
    <row r="28" ht="15.75" customHeight="1" outlineLevel="1">
      <c r="A28" s="106" t="b">
        <v>0</v>
      </c>
      <c r="B28" s="140" t="s">
        <v>87</v>
      </c>
      <c r="C28" s="86" t="s">
        <v>20</v>
      </c>
      <c r="D28" s="86" t="s">
        <v>470</v>
      </c>
      <c r="E28" s="140">
        <v>3.0</v>
      </c>
      <c r="F28" s="140">
        <v>2.0</v>
      </c>
      <c r="G28" s="140" t="s">
        <v>320</v>
      </c>
      <c r="H28" s="140" t="s">
        <v>23</v>
      </c>
      <c r="I28" s="140" t="s">
        <v>31</v>
      </c>
      <c r="J28" s="48" t="s">
        <v>46</v>
      </c>
      <c r="K28" s="19" t="b">
        <v>0</v>
      </c>
      <c r="L28" s="19" t="b">
        <v>0</v>
      </c>
      <c r="M28" s="19" t="b">
        <v>0</v>
      </c>
      <c r="N28" s="19" t="b">
        <v>0</v>
      </c>
      <c r="O28" s="19" t="b">
        <v>0</v>
      </c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</row>
    <row r="29" ht="15.75" customHeight="1" outlineLevel="1">
      <c r="A29" s="19" t="b">
        <v>0</v>
      </c>
      <c r="B29" s="27" t="s">
        <v>420</v>
      </c>
      <c r="C29" s="28" t="s">
        <v>20</v>
      </c>
      <c r="D29" s="27" t="s">
        <v>55</v>
      </c>
      <c r="E29" s="27">
        <v>4.5</v>
      </c>
      <c r="F29" s="27">
        <v>2.0</v>
      </c>
      <c r="G29" s="34" t="s">
        <v>70</v>
      </c>
      <c r="H29" s="27" t="s">
        <v>31</v>
      </c>
      <c r="I29" s="27" t="s">
        <v>31</v>
      </c>
      <c r="J29" s="90">
        <v>45792.0</v>
      </c>
      <c r="K29" s="19" t="b">
        <v>1</v>
      </c>
      <c r="L29" s="19" t="b">
        <v>1</v>
      </c>
      <c r="M29" s="19" t="b">
        <v>1</v>
      </c>
      <c r="N29" s="19" t="b">
        <v>1</v>
      </c>
      <c r="O29" s="19" t="b">
        <v>1</v>
      </c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</row>
    <row r="30" ht="15.75" customHeight="1" outlineLevel="1">
      <c r="A30" s="19" t="b">
        <v>0</v>
      </c>
      <c r="B30" s="34" t="s">
        <v>493</v>
      </c>
      <c r="C30" s="35" t="s">
        <v>20</v>
      </c>
      <c r="D30" s="34" t="s">
        <v>21</v>
      </c>
      <c r="E30" s="34">
        <v>5.0</v>
      </c>
      <c r="F30" s="34">
        <v>2.0</v>
      </c>
      <c r="G30" s="34" t="s">
        <v>58</v>
      </c>
      <c r="H30" s="34" t="s">
        <v>31</v>
      </c>
      <c r="I30" s="34" t="s">
        <v>23</v>
      </c>
      <c r="J30" s="214">
        <v>45797.0</v>
      </c>
      <c r="K30" s="19" t="b">
        <v>1</v>
      </c>
      <c r="L30" s="19" t="b">
        <v>1</v>
      </c>
      <c r="M30" s="19" t="b">
        <v>1</v>
      </c>
      <c r="N30" s="19" t="b">
        <v>1</v>
      </c>
      <c r="O30" s="19" t="b">
        <v>1</v>
      </c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</row>
    <row r="31" ht="15.75" customHeight="1" outlineLevel="1">
      <c r="A31" s="19" t="b">
        <v>1</v>
      </c>
      <c r="B31" s="34" t="s">
        <v>494</v>
      </c>
      <c r="C31" s="35" t="s">
        <v>20</v>
      </c>
      <c r="D31" s="34" t="s">
        <v>21</v>
      </c>
      <c r="E31" s="34">
        <v>4.0</v>
      </c>
      <c r="F31" s="34">
        <v>2.0</v>
      </c>
      <c r="G31" s="34" t="s">
        <v>58</v>
      </c>
      <c r="H31" s="34" t="s">
        <v>23</v>
      </c>
      <c r="I31" s="34" t="s">
        <v>23</v>
      </c>
      <c r="J31" s="168">
        <v>45798.0</v>
      </c>
      <c r="K31" s="19" t="b">
        <v>1</v>
      </c>
      <c r="L31" s="19" t="b">
        <v>1</v>
      </c>
      <c r="M31" s="19" t="b">
        <v>1</v>
      </c>
      <c r="N31" s="19" t="b">
        <v>1</v>
      </c>
      <c r="O31" s="19" t="b">
        <v>1</v>
      </c>
      <c r="P31" s="249"/>
      <c r="Q31" s="201" t="s">
        <v>362</v>
      </c>
      <c r="R31" s="103" t="str">
        <f>(E3*F3)+(E4*F4)+(E5*F5)+(E6*F6)+(E7*F7)+(E9*F9)+(E10*F10)+(E11*F11)+(E12*F12)+(E13*F13)+(E14*F14)+(E15*F15)+(E17*F17)+(E18*F18)+(E19*F19)+(E20*F20)+(E21*F21)+(E23*F23)+(E24*F24)+(E25*F25)+(E26*F26)+(E27*F27)+(E28*F28)+(E30*F30)+(E31*F31)+(E32*F32)+(E33*F33)+(E34*F34)+(E35*F35)+(E36*F36)+(E37*F37)+(E38*F38)+(JAN!E26*JAN!F26)+(E40*F40)+(E41*F41)+(E42*F42)+(E43*F43)+(E44*F44)+(E45*F45)+(E46*F46)+(E47*F47)+(E48*F48)+(E49*F49)+(E51*F51)+(E52*F52)+(E53*F53)+(E55*F55)+(E56*F56)+(E57*F57)+(E58*F58)+(F59*G59)+(E60*F60)+(E61*F61)+(E62*F62)+(E63*F63)+(E64*F64)+(E65*F65)+(E66*F66)+(E67*F67)+(E68*F68)+(E69*F69)+(E70*F70)+(E71*F71)+(E72*F72)+(E73*F73)+(E74*F74)+(E75*F75)+(E76*F76)+(E77*F77)+(E78*F78)+(E79*F79)+(E80*F80)+(E81*F81)+(E82*F82)+(E83*F83)+(E84*F84)+(E85*F85)+(E86*F86)+(E87*F87)+(E88*F88)+(E89*F89)+(E90*F90)+(E91*F91)+(E92*F92)+(E93*F93)+(E94*F94)+(E95*F95)+(E96*F96)+(E97*F97)+(E98*F98)+(E99*F99)+(E100*F100)+(E101*F101)+(E102*F102)+(E103*F103)+(E104*F104)+(E105*F105)+(E106*F106)</f>
        <v>#VALUE!</v>
      </c>
      <c r="S31" s="250"/>
      <c r="T31" s="250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</row>
    <row r="32" ht="15.75" customHeight="1" outlineLevel="1">
      <c r="A32" s="19" t="b">
        <v>0</v>
      </c>
      <c r="B32" s="34" t="s">
        <v>495</v>
      </c>
      <c r="C32" s="35" t="s">
        <v>77</v>
      </c>
      <c r="D32" s="34" t="s">
        <v>21</v>
      </c>
      <c r="E32" s="34">
        <v>3.0</v>
      </c>
      <c r="F32" s="34">
        <v>2.0</v>
      </c>
      <c r="G32" s="34" t="s">
        <v>58</v>
      </c>
      <c r="H32" s="34" t="s">
        <v>23</v>
      </c>
      <c r="I32" s="34" t="s">
        <v>23</v>
      </c>
      <c r="J32" s="216">
        <v>45801.0</v>
      </c>
      <c r="K32" s="19" t="b">
        <v>0</v>
      </c>
      <c r="L32" s="19" t="b">
        <v>0</v>
      </c>
      <c r="M32" s="19" t="b">
        <v>0</v>
      </c>
      <c r="N32" s="19" t="b">
        <v>0</v>
      </c>
      <c r="O32" s="19" t="b">
        <v>0</v>
      </c>
      <c r="P32" s="251" t="s">
        <v>460</v>
      </c>
      <c r="Q32" s="118"/>
      <c r="R32" s="118"/>
      <c r="S32" s="250"/>
      <c r="T32" s="250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</row>
    <row r="33" ht="15.75" customHeight="1" outlineLevel="1">
      <c r="A33" s="19" t="b">
        <v>0</v>
      </c>
      <c r="B33" s="34" t="s">
        <v>496</v>
      </c>
      <c r="C33" s="35" t="s">
        <v>20</v>
      </c>
      <c r="D33" s="34" t="s">
        <v>21</v>
      </c>
      <c r="E33" s="34">
        <v>1.0</v>
      </c>
      <c r="F33" s="34">
        <v>1.0</v>
      </c>
      <c r="G33" s="34" t="s">
        <v>22</v>
      </c>
      <c r="H33" s="34" t="s">
        <v>23</v>
      </c>
      <c r="I33" s="34" t="s">
        <v>23</v>
      </c>
      <c r="J33" s="252">
        <v>45807.0</v>
      </c>
      <c r="K33" s="19" t="b">
        <v>1</v>
      </c>
      <c r="L33" s="19" t="b">
        <v>0</v>
      </c>
      <c r="M33" s="19" t="b">
        <v>1</v>
      </c>
      <c r="N33" s="19" t="b">
        <v>1</v>
      </c>
      <c r="O33" s="19" t="b">
        <v>0</v>
      </c>
      <c r="P33" s="253"/>
      <c r="Q33" s="143" t="s">
        <v>192</v>
      </c>
      <c r="R33" s="144"/>
      <c r="S33" s="18"/>
      <c r="T33" s="103">
        <v>708.0</v>
      </c>
      <c r="U33" s="85"/>
      <c r="V33" s="85" t="s">
        <v>193</v>
      </c>
      <c r="AF33" s="118"/>
      <c r="AG33" s="118"/>
    </row>
    <row r="34" ht="15.75" customHeight="1" outlineLevel="1">
      <c r="A34" s="19" t="b">
        <v>1</v>
      </c>
      <c r="B34" s="34" t="s">
        <v>497</v>
      </c>
      <c r="C34" s="35" t="s">
        <v>20</v>
      </c>
      <c r="D34" s="34" t="s">
        <v>21</v>
      </c>
      <c r="E34" s="34">
        <v>4.0</v>
      </c>
      <c r="F34" s="34">
        <v>2.0</v>
      </c>
      <c r="G34" s="34" t="s">
        <v>45</v>
      </c>
      <c r="H34" s="34" t="s">
        <v>23</v>
      </c>
      <c r="I34" s="34" t="s">
        <v>23</v>
      </c>
      <c r="J34" s="254">
        <v>45807.0</v>
      </c>
      <c r="K34" s="19" t="b">
        <v>1</v>
      </c>
      <c r="L34" s="19" t="b">
        <v>1</v>
      </c>
      <c r="M34" s="19" t="b">
        <v>1</v>
      </c>
      <c r="N34" s="19" t="b">
        <v>1</v>
      </c>
      <c r="O34" s="19" t="b">
        <v>1</v>
      </c>
      <c r="P34" s="85"/>
      <c r="Q34" s="85"/>
      <c r="R34" s="85"/>
      <c r="S34" s="85"/>
      <c r="T34" s="96"/>
      <c r="U34" s="85"/>
      <c r="V34" s="85"/>
      <c r="AF34" s="118"/>
      <c r="AG34" s="118"/>
    </row>
    <row r="35" ht="15.75" customHeight="1" outlineLevel="1">
      <c r="A35" s="106" t="b">
        <v>1</v>
      </c>
      <c r="B35" s="140" t="s">
        <v>498</v>
      </c>
      <c r="C35" s="86" t="s">
        <v>20</v>
      </c>
      <c r="D35" s="140" t="s">
        <v>21</v>
      </c>
      <c r="E35" s="140">
        <v>1.5</v>
      </c>
      <c r="F35" s="140">
        <v>1.0</v>
      </c>
      <c r="G35" s="140" t="s">
        <v>22</v>
      </c>
      <c r="H35" s="140" t="s">
        <v>23</v>
      </c>
      <c r="I35" s="140" t="s">
        <v>23</v>
      </c>
      <c r="J35" s="255" t="s">
        <v>499</v>
      </c>
      <c r="K35" s="106" t="b">
        <v>1</v>
      </c>
      <c r="L35" s="106" t="b">
        <v>0</v>
      </c>
      <c r="M35" s="106" t="b">
        <v>1</v>
      </c>
      <c r="N35" s="106" t="b">
        <v>1</v>
      </c>
      <c r="O35" s="106" t="b">
        <v>0</v>
      </c>
      <c r="P35" s="256" t="s">
        <v>318</v>
      </c>
      <c r="Q35" s="146" t="s">
        <v>199</v>
      </c>
      <c r="R35" s="147"/>
      <c r="S35" s="103" t="str">
        <f>T33-R31</f>
        <v>#VALUE!</v>
      </c>
      <c r="T35" s="96"/>
      <c r="U35" s="85"/>
      <c r="V35" s="257" t="s">
        <v>500</v>
      </c>
      <c r="W35" s="258"/>
      <c r="X35" s="258"/>
      <c r="Y35" s="258"/>
      <c r="AF35" s="118"/>
      <c r="AG35" s="118"/>
    </row>
    <row r="36" ht="15.75" customHeight="1" outlineLevel="1">
      <c r="A36" s="106" t="b">
        <v>0</v>
      </c>
      <c r="B36" s="140" t="s">
        <v>501</v>
      </c>
      <c r="C36" s="86" t="s">
        <v>20</v>
      </c>
      <c r="D36" s="140" t="s">
        <v>21</v>
      </c>
      <c r="E36" s="140">
        <v>5.0</v>
      </c>
      <c r="F36" s="140">
        <v>2.0</v>
      </c>
      <c r="G36" s="140" t="s">
        <v>45</v>
      </c>
      <c r="H36" s="140" t="s">
        <v>31</v>
      </c>
      <c r="I36" s="140" t="s">
        <v>23</v>
      </c>
      <c r="J36" s="213" t="s">
        <v>502</v>
      </c>
      <c r="K36" s="106" t="b">
        <v>0</v>
      </c>
      <c r="L36" s="106" t="b">
        <v>0</v>
      </c>
      <c r="M36" s="106" t="b">
        <v>0</v>
      </c>
      <c r="N36" s="106" t="b">
        <v>0</v>
      </c>
      <c r="O36" s="106" t="b">
        <v>0</v>
      </c>
      <c r="P36" s="175"/>
      <c r="Q36" s="175"/>
      <c r="R36" s="175"/>
      <c r="S36" s="259"/>
      <c r="T36" s="259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</row>
    <row r="37" ht="15.75" customHeight="1" outlineLevel="1">
      <c r="A37" s="106" t="b">
        <v>0</v>
      </c>
      <c r="B37" s="140" t="s">
        <v>503</v>
      </c>
      <c r="C37" s="86" t="s">
        <v>20</v>
      </c>
      <c r="D37" s="140" t="s">
        <v>21</v>
      </c>
      <c r="E37" s="140">
        <v>6.0</v>
      </c>
      <c r="F37" s="140">
        <v>2.0</v>
      </c>
      <c r="G37" s="140" t="s">
        <v>45</v>
      </c>
      <c r="H37" s="140" t="s">
        <v>31</v>
      </c>
      <c r="I37" s="140" t="s">
        <v>31</v>
      </c>
      <c r="J37" s="213" t="s">
        <v>502</v>
      </c>
      <c r="K37" s="106" t="b">
        <v>0</v>
      </c>
      <c r="L37" s="106" t="b">
        <v>0</v>
      </c>
      <c r="M37" s="106" t="b">
        <v>0</v>
      </c>
      <c r="N37" s="106" t="b">
        <v>0</v>
      </c>
      <c r="O37" s="106" t="b">
        <v>0</v>
      </c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</row>
    <row r="38" ht="15.75" customHeight="1" outlineLevel="1">
      <c r="A38" s="106" t="b">
        <v>0</v>
      </c>
      <c r="B38" s="140" t="s">
        <v>504</v>
      </c>
      <c r="C38" s="86" t="s">
        <v>20</v>
      </c>
      <c r="D38" s="140" t="s">
        <v>21</v>
      </c>
      <c r="E38" s="140">
        <v>6.0</v>
      </c>
      <c r="F38" s="140">
        <v>2.0</v>
      </c>
      <c r="G38" s="140" t="s">
        <v>45</v>
      </c>
      <c r="H38" s="140" t="s">
        <v>31</v>
      </c>
      <c r="I38" s="140" t="s">
        <v>31</v>
      </c>
      <c r="J38" s="213" t="s">
        <v>502</v>
      </c>
      <c r="K38" s="106" t="b">
        <v>0</v>
      </c>
      <c r="L38" s="106" t="b">
        <v>0</v>
      </c>
      <c r="M38" s="106" t="b">
        <v>0</v>
      </c>
      <c r="N38" s="106" t="b">
        <v>0</v>
      </c>
      <c r="O38" s="106" t="b">
        <v>0</v>
      </c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5"/>
      <c r="AD38" s="175"/>
      <c r="AE38" s="175"/>
      <c r="AF38" s="175"/>
      <c r="AG38" s="175"/>
    </row>
    <row r="39" ht="15.75" customHeight="1" outlineLevel="1"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</row>
    <row r="40" ht="15.75" customHeight="1" outlineLevel="1">
      <c r="A40" s="19" t="b">
        <v>1</v>
      </c>
      <c r="B40" s="34" t="s">
        <v>505</v>
      </c>
      <c r="C40" s="35" t="s">
        <v>26</v>
      </c>
      <c r="D40" s="34" t="s">
        <v>21</v>
      </c>
      <c r="E40" s="35">
        <v>24.0</v>
      </c>
      <c r="F40" s="34">
        <v>2.0</v>
      </c>
      <c r="G40" s="34" t="s">
        <v>45</v>
      </c>
      <c r="H40" s="34" t="s">
        <v>31</v>
      </c>
      <c r="I40" s="34" t="s">
        <v>23</v>
      </c>
      <c r="J40" s="40" t="s">
        <v>506</v>
      </c>
      <c r="K40" s="19" t="b">
        <v>1</v>
      </c>
      <c r="L40" s="19" t="b">
        <v>1</v>
      </c>
      <c r="M40" s="19" t="b">
        <v>1</v>
      </c>
      <c r="N40" s="19" t="b">
        <v>1</v>
      </c>
      <c r="O40" s="19" t="b">
        <v>1</v>
      </c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</row>
    <row r="41" ht="15.75" customHeight="1" outlineLevel="1">
      <c r="A41" s="19" t="b">
        <v>0</v>
      </c>
      <c r="B41" s="34" t="s">
        <v>507</v>
      </c>
      <c r="C41" s="35" t="s">
        <v>20</v>
      </c>
      <c r="D41" s="34" t="s">
        <v>21</v>
      </c>
      <c r="E41" s="34">
        <v>6.0</v>
      </c>
      <c r="F41" s="34">
        <v>2.0</v>
      </c>
      <c r="G41" s="34" t="s">
        <v>45</v>
      </c>
      <c r="H41" s="34" t="s">
        <v>23</v>
      </c>
      <c r="I41" s="34" t="s">
        <v>23</v>
      </c>
      <c r="J41" s="214">
        <v>45799.0</v>
      </c>
      <c r="K41" s="19" t="b">
        <v>1</v>
      </c>
      <c r="L41" s="19" t="b">
        <v>1</v>
      </c>
      <c r="M41" s="19" t="b">
        <v>1</v>
      </c>
      <c r="N41" s="19" t="b">
        <v>1</v>
      </c>
      <c r="O41" s="19" t="b">
        <v>1</v>
      </c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</row>
    <row r="42" ht="15.75" customHeight="1" outlineLevel="1">
      <c r="A42" s="19" t="b">
        <v>0</v>
      </c>
      <c r="B42" s="27" t="s">
        <v>121</v>
      </c>
      <c r="C42" s="35" t="s">
        <v>122</v>
      </c>
      <c r="D42" s="27" t="s">
        <v>508</v>
      </c>
      <c r="E42" s="27">
        <v>3.5</v>
      </c>
      <c r="F42" s="27">
        <v>1.0</v>
      </c>
      <c r="G42" s="34" t="s">
        <v>58</v>
      </c>
      <c r="H42" s="27" t="s">
        <v>23</v>
      </c>
      <c r="I42" s="27" t="s">
        <v>31</v>
      </c>
      <c r="J42" s="214">
        <v>45783.0</v>
      </c>
      <c r="K42" s="19" t="b">
        <v>1</v>
      </c>
      <c r="L42" s="19" t="b">
        <v>0</v>
      </c>
      <c r="M42" s="19" t="b">
        <v>0</v>
      </c>
      <c r="N42" s="19" t="b">
        <v>0</v>
      </c>
      <c r="O42" s="19" t="b">
        <v>0</v>
      </c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</row>
    <row r="43" ht="15.75" customHeight="1" outlineLevel="1">
      <c r="A43" s="19" t="b">
        <v>0</v>
      </c>
      <c r="B43" s="35" t="s">
        <v>509</v>
      </c>
      <c r="C43" s="35" t="s">
        <v>20</v>
      </c>
      <c r="D43" s="35" t="s">
        <v>21</v>
      </c>
      <c r="E43" s="35">
        <v>3.0</v>
      </c>
      <c r="F43" s="35">
        <v>2.0</v>
      </c>
      <c r="G43" s="35" t="s">
        <v>70</v>
      </c>
      <c r="H43" s="35" t="s">
        <v>23</v>
      </c>
      <c r="I43" s="35" t="s">
        <v>23</v>
      </c>
      <c r="J43" s="40" t="s">
        <v>510</v>
      </c>
      <c r="K43" s="19" t="b">
        <v>0</v>
      </c>
      <c r="L43" s="19" t="b">
        <v>0</v>
      </c>
      <c r="M43" s="19" t="b">
        <v>0</v>
      </c>
      <c r="N43" s="19" t="b">
        <v>0</v>
      </c>
      <c r="O43" s="19" t="b">
        <v>0</v>
      </c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</row>
    <row r="44" ht="15.75" customHeight="1" outlineLevel="1">
      <c r="A44" s="19" t="b">
        <v>0</v>
      </c>
      <c r="B44" s="34" t="s">
        <v>511</v>
      </c>
      <c r="C44" s="35" t="s">
        <v>26</v>
      </c>
      <c r="D44" s="34" t="s">
        <v>21</v>
      </c>
      <c r="E44" s="34"/>
      <c r="F44" s="35">
        <v>1.0</v>
      </c>
      <c r="G44" s="35" t="s">
        <v>22</v>
      </c>
      <c r="H44" s="35" t="s">
        <v>23</v>
      </c>
      <c r="I44" s="35" t="s">
        <v>23</v>
      </c>
      <c r="J44" s="149">
        <v>45807.0</v>
      </c>
      <c r="K44" s="19" t="b">
        <v>1</v>
      </c>
      <c r="L44" s="19" t="b">
        <v>0</v>
      </c>
      <c r="M44" s="19" t="b">
        <v>1</v>
      </c>
      <c r="N44" s="19" t="b">
        <v>1</v>
      </c>
      <c r="O44" s="19" t="b">
        <v>0</v>
      </c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</row>
    <row r="45" ht="15.75" customHeight="1" outlineLevel="1">
      <c r="A45" s="19" t="b">
        <v>0</v>
      </c>
      <c r="B45" s="34" t="s">
        <v>512</v>
      </c>
      <c r="C45" s="35" t="s">
        <v>20</v>
      </c>
      <c r="D45" s="34" t="s">
        <v>390</v>
      </c>
      <c r="E45" s="34">
        <v>8.0</v>
      </c>
      <c r="F45" s="34">
        <v>1.0</v>
      </c>
      <c r="G45" s="34" t="s">
        <v>128</v>
      </c>
      <c r="H45" s="34" t="s">
        <v>31</v>
      </c>
      <c r="I45" s="34" t="s">
        <v>31</v>
      </c>
      <c r="J45" s="214">
        <v>45810.0</v>
      </c>
      <c r="K45" s="19" t="b">
        <v>1</v>
      </c>
      <c r="L45" s="19" t="b">
        <v>1</v>
      </c>
      <c r="M45" s="19" t="b">
        <v>1</v>
      </c>
      <c r="N45" s="19" t="b">
        <v>1</v>
      </c>
      <c r="O45" s="19" t="b">
        <v>0</v>
      </c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</row>
    <row r="46" ht="15.75" customHeight="1" outlineLevel="1">
      <c r="A46" s="19" t="b">
        <v>0</v>
      </c>
      <c r="B46" s="34" t="s">
        <v>513</v>
      </c>
      <c r="C46" s="35" t="s">
        <v>20</v>
      </c>
      <c r="D46" s="34" t="s">
        <v>390</v>
      </c>
      <c r="E46" s="34">
        <v>8.0</v>
      </c>
      <c r="F46" s="34">
        <v>1.0</v>
      </c>
      <c r="G46" s="34" t="s">
        <v>128</v>
      </c>
      <c r="H46" s="34" t="s">
        <v>31</v>
      </c>
      <c r="I46" s="34" t="s">
        <v>23</v>
      </c>
      <c r="J46" s="214">
        <v>45812.0</v>
      </c>
      <c r="K46" s="19" t="b">
        <v>1</v>
      </c>
      <c r="L46" s="19" t="b">
        <v>0</v>
      </c>
      <c r="M46" s="19" t="b">
        <v>0</v>
      </c>
      <c r="N46" s="19" t="b">
        <v>0</v>
      </c>
      <c r="O46" s="19" t="b">
        <v>0</v>
      </c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</row>
    <row r="47" ht="15.75" customHeight="1" outlineLevel="1">
      <c r="A47" s="19" t="b">
        <v>0</v>
      </c>
      <c r="B47" s="34" t="s">
        <v>514</v>
      </c>
      <c r="C47" s="35" t="s">
        <v>167</v>
      </c>
      <c r="D47" s="34" t="s">
        <v>21</v>
      </c>
      <c r="E47" s="34">
        <v>24.0</v>
      </c>
      <c r="F47" s="34">
        <v>2.0</v>
      </c>
      <c r="G47" s="34" t="s">
        <v>45</v>
      </c>
      <c r="H47" s="34" t="s">
        <v>31</v>
      </c>
      <c r="I47" s="34" t="s">
        <v>31</v>
      </c>
      <c r="J47" s="40" t="s">
        <v>515</v>
      </c>
      <c r="K47" s="19" t="b">
        <v>1</v>
      </c>
      <c r="L47" s="19" t="b">
        <v>1</v>
      </c>
      <c r="M47" s="19" t="b">
        <v>1</v>
      </c>
      <c r="N47" s="19" t="b">
        <v>1</v>
      </c>
      <c r="O47" s="19" t="b">
        <v>1</v>
      </c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</row>
    <row r="48" ht="15.75" customHeight="1" outlineLevel="1">
      <c r="A48" s="19" t="b">
        <v>0</v>
      </c>
      <c r="B48" s="34" t="s">
        <v>516</v>
      </c>
      <c r="C48" s="35" t="s">
        <v>77</v>
      </c>
      <c r="D48" s="34" t="s">
        <v>21</v>
      </c>
      <c r="E48" s="34">
        <v>8.0</v>
      </c>
      <c r="F48" s="34">
        <v>2.0</v>
      </c>
      <c r="G48" s="34" t="s">
        <v>58</v>
      </c>
      <c r="H48" s="34" t="s">
        <v>23</v>
      </c>
      <c r="I48" s="34" t="s">
        <v>23</v>
      </c>
      <c r="J48" s="168">
        <v>45800.0</v>
      </c>
      <c r="K48" s="19" t="b">
        <v>1</v>
      </c>
      <c r="L48" s="19" t="b">
        <v>1</v>
      </c>
      <c r="M48" s="19" t="b">
        <v>1</v>
      </c>
      <c r="N48" s="19" t="b">
        <v>1</v>
      </c>
      <c r="O48" s="19" t="b">
        <v>1</v>
      </c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</row>
    <row r="49" ht="15.75" customHeight="1" outlineLevel="1">
      <c r="A49" s="19" t="b">
        <v>0</v>
      </c>
      <c r="B49" s="34" t="s">
        <v>517</v>
      </c>
      <c r="C49" s="35" t="s">
        <v>20</v>
      </c>
      <c r="D49" s="34" t="s">
        <v>21</v>
      </c>
      <c r="E49" s="34">
        <v>1.0</v>
      </c>
      <c r="F49" s="34">
        <v>1.0</v>
      </c>
      <c r="G49" s="34" t="s">
        <v>22</v>
      </c>
      <c r="H49" s="34" t="s">
        <v>23</v>
      </c>
      <c r="I49" s="34" t="s">
        <v>23</v>
      </c>
      <c r="J49" s="214">
        <v>45798.0</v>
      </c>
      <c r="K49" s="19" t="b">
        <v>1</v>
      </c>
      <c r="L49" s="19" t="b">
        <v>1</v>
      </c>
      <c r="M49" s="19" t="b">
        <v>1</v>
      </c>
      <c r="N49" s="19" t="b">
        <v>1</v>
      </c>
      <c r="O49" s="19" t="b">
        <v>1</v>
      </c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</row>
    <row r="50" ht="15.75" customHeight="1" outlineLevel="1">
      <c r="A50" s="19" t="b">
        <v>0</v>
      </c>
      <c r="B50" s="35" t="s">
        <v>518</v>
      </c>
      <c r="C50" s="35" t="s">
        <v>20</v>
      </c>
      <c r="D50" s="35" t="s">
        <v>21</v>
      </c>
      <c r="E50" s="35">
        <v>2.5</v>
      </c>
      <c r="F50" s="35">
        <v>2.0</v>
      </c>
      <c r="G50" s="35" t="s">
        <v>519</v>
      </c>
      <c r="H50" s="35" t="s">
        <v>23</v>
      </c>
      <c r="I50" s="35" t="s">
        <v>23</v>
      </c>
      <c r="J50" s="214">
        <v>45832.0</v>
      </c>
      <c r="K50" s="19" t="b">
        <v>1</v>
      </c>
      <c r="L50" s="19" t="b">
        <v>1</v>
      </c>
      <c r="M50" s="19" t="b">
        <v>1</v>
      </c>
      <c r="N50" s="19" t="b">
        <v>1</v>
      </c>
      <c r="O50" s="19" t="b">
        <v>1</v>
      </c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</row>
    <row r="51" ht="15.75" customHeight="1" outlineLevel="1">
      <c r="A51" s="19" t="b">
        <v>0</v>
      </c>
      <c r="B51" s="35" t="s">
        <v>213</v>
      </c>
      <c r="C51" s="35" t="s">
        <v>20</v>
      </c>
      <c r="D51" s="35" t="s">
        <v>285</v>
      </c>
      <c r="E51" s="34"/>
      <c r="F51" s="34"/>
      <c r="G51" s="35" t="s">
        <v>58</v>
      </c>
      <c r="H51" s="34"/>
      <c r="I51" s="34"/>
      <c r="J51" s="105" t="s">
        <v>520</v>
      </c>
      <c r="K51" s="19" t="b">
        <v>0</v>
      </c>
      <c r="L51" s="19" t="b">
        <v>0</v>
      </c>
      <c r="M51" s="19" t="b">
        <v>0</v>
      </c>
      <c r="N51" s="19" t="b">
        <v>0</v>
      </c>
      <c r="O51" s="19" t="b">
        <v>0</v>
      </c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</row>
    <row r="52" ht="15.75" customHeight="1" outlineLevel="1">
      <c r="A52" s="19" t="b">
        <v>1</v>
      </c>
      <c r="B52" s="35" t="s">
        <v>305</v>
      </c>
      <c r="C52" s="35" t="s">
        <v>26</v>
      </c>
      <c r="D52" s="35" t="s">
        <v>156</v>
      </c>
      <c r="E52" s="35">
        <v>1.0</v>
      </c>
      <c r="F52" s="35">
        <v>1.0</v>
      </c>
      <c r="G52" s="35" t="s">
        <v>27</v>
      </c>
      <c r="H52" s="35" t="s">
        <v>31</v>
      </c>
      <c r="I52" s="34"/>
      <c r="J52" s="216">
        <v>45427.0</v>
      </c>
      <c r="K52" s="19" t="b">
        <v>0</v>
      </c>
      <c r="L52" s="19" t="b">
        <v>0</v>
      </c>
      <c r="M52" s="19" t="b">
        <v>0</v>
      </c>
      <c r="N52" s="19" t="b">
        <v>0</v>
      </c>
      <c r="O52" s="19" t="b">
        <v>0</v>
      </c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</row>
    <row r="53" ht="15.75" customHeight="1" outlineLevel="1">
      <c r="A53" s="19" t="b">
        <v>0</v>
      </c>
      <c r="B53" s="35" t="s">
        <v>521</v>
      </c>
      <c r="C53" s="35" t="s">
        <v>20</v>
      </c>
      <c r="D53" s="35" t="s">
        <v>21</v>
      </c>
      <c r="E53" s="35">
        <v>1.0</v>
      </c>
      <c r="F53" s="35">
        <v>1.0</v>
      </c>
      <c r="G53" s="35" t="s">
        <v>22</v>
      </c>
      <c r="H53" s="35" t="s">
        <v>23</v>
      </c>
      <c r="I53" s="35" t="s">
        <v>23</v>
      </c>
      <c r="J53" s="214">
        <v>45814.0</v>
      </c>
      <c r="K53" s="19" t="b">
        <v>1</v>
      </c>
      <c r="L53" s="19" t="b">
        <v>0</v>
      </c>
      <c r="M53" s="19" t="b">
        <v>1</v>
      </c>
      <c r="N53" s="19" t="b">
        <v>1</v>
      </c>
      <c r="O53" s="19" t="b">
        <v>0</v>
      </c>
      <c r="P53" s="130" t="s">
        <v>491</v>
      </c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</row>
    <row r="54" ht="15.75" customHeight="1" outlineLevel="1">
      <c r="A54" s="106" t="b">
        <v>0</v>
      </c>
      <c r="B54" s="86" t="s">
        <v>522</v>
      </c>
      <c r="C54" s="86" t="s">
        <v>20</v>
      </c>
      <c r="D54" s="86" t="s">
        <v>21</v>
      </c>
      <c r="E54" s="86">
        <v>12.0</v>
      </c>
      <c r="F54" s="86">
        <v>2.0</v>
      </c>
      <c r="G54" s="86" t="s">
        <v>37</v>
      </c>
      <c r="H54" s="86"/>
      <c r="I54" s="86"/>
      <c r="J54" s="260" t="s">
        <v>523</v>
      </c>
      <c r="K54" s="106" t="b">
        <v>1</v>
      </c>
      <c r="L54" s="106" t="b">
        <v>1</v>
      </c>
      <c r="M54" s="106" t="b">
        <v>1</v>
      </c>
      <c r="N54" s="106" t="b">
        <v>1</v>
      </c>
      <c r="O54" s="106" t="b">
        <v>1</v>
      </c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  <c r="AF54" s="175"/>
      <c r="AG54" s="175"/>
    </row>
    <row r="55" ht="15.75" customHeight="1" outlineLevel="1">
      <c r="A55" s="19" t="b">
        <v>0</v>
      </c>
      <c r="B55" s="35" t="s">
        <v>524</v>
      </c>
      <c r="C55" s="35" t="s">
        <v>20</v>
      </c>
      <c r="D55" s="35" t="s">
        <v>285</v>
      </c>
      <c r="E55" s="35">
        <v>8.0</v>
      </c>
      <c r="F55" s="35">
        <v>1.0</v>
      </c>
      <c r="G55" s="35" t="s">
        <v>30</v>
      </c>
      <c r="H55" s="35" t="s">
        <v>23</v>
      </c>
      <c r="I55" s="35" t="s">
        <v>23</v>
      </c>
      <c r="J55" s="214">
        <v>45784.0</v>
      </c>
      <c r="K55" s="19" t="b">
        <v>1</v>
      </c>
      <c r="L55" s="19" t="b">
        <v>1</v>
      </c>
      <c r="M55" s="19" t="b">
        <v>1</v>
      </c>
      <c r="N55" s="19" t="b">
        <v>1</v>
      </c>
      <c r="O55" s="19" t="b">
        <v>1</v>
      </c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</row>
    <row r="56" ht="15.75" customHeight="1" outlineLevel="1">
      <c r="A56" s="19" t="b">
        <v>0</v>
      </c>
      <c r="B56" s="35" t="s">
        <v>525</v>
      </c>
      <c r="C56" s="35"/>
      <c r="D56" s="35" t="s">
        <v>285</v>
      </c>
      <c r="E56" s="35">
        <v>8.0</v>
      </c>
      <c r="F56" s="35">
        <v>1.0</v>
      </c>
      <c r="G56" s="35" t="s">
        <v>30</v>
      </c>
      <c r="H56" s="35" t="s">
        <v>23</v>
      </c>
      <c r="I56" s="35" t="s">
        <v>23</v>
      </c>
      <c r="J56" s="214">
        <v>45784.0</v>
      </c>
      <c r="K56" s="19" t="b">
        <v>1</v>
      </c>
      <c r="L56" s="19" t="b">
        <v>1</v>
      </c>
      <c r="M56" s="19" t="b">
        <v>1</v>
      </c>
      <c r="N56" s="19" t="b">
        <v>1</v>
      </c>
      <c r="O56" s="19" t="b">
        <v>1</v>
      </c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</row>
    <row r="57" ht="15.75" customHeight="1" outlineLevel="1">
      <c r="A57" s="19" t="b">
        <v>0</v>
      </c>
      <c r="B57" s="35" t="s">
        <v>526</v>
      </c>
      <c r="C57" s="35" t="s">
        <v>26</v>
      </c>
      <c r="D57" s="35" t="s">
        <v>285</v>
      </c>
      <c r="E57" s="35">
        <v>1.0</v>
      </c>
      <c r="F57" s="35">
        <v>1.0</v>
      </c>
      <c r="G57" s="35" t="s">
        <v>22</v>
      </c>
      <c r="H57" s="34"/>
      <c r="I57" s="34"/>
      <c r="J57" s="261">
        <v>45785.0</v>
      </c>
      <c r="K57" s="19" t="b">
        <v>1</v>
      </c>
      <c r="L57" s="19" t="b">
        <v>0</v>
      </c>
      <c r="M57" s="19" t="b">
        <v>0</v>
      </c>
      <c r="N57" s="19" t="b">
        <v>0</v>
      </c>
      <c r="O57" s="19" t="b">
        <v>0</v>
      </c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</row>
    <row r="58" ht="15.75" customHeight="1" outlineLevel="1">
      <c r="A58" s="19" t="b">
        <v>0</v>
      </c>
      <c r="B58" s="35" t="s">
        <v>527</v>
      </c>
      <c r="C58" s="35" t="s">
        <v>20</v>
      </c>
      <c r="D58" s="35" t="s">
        <v>285</v>
      </c>
      <c r="E58" s="35">
        <v>1.0</v>
      </c>
      <c r="F58" s="35">
        <v>1.0</v>
      </c>
      <c r="G58" s="35" t="s">
        <v>22</v>
      </c>
      <c r="H58" s="35" t="s">
        <v>23</v>
      </c>
      <c r="I58" s="35" t="s">
        <v>23</v>
      </c>
      <c r="J58" s="168">
        <v>45790.0</v>
      </c>
      <c r="K58" s="19" t="b">
        <v>1</v>
      </c>
      <c r="L58" s="19" t="b">
        <v>1</v>
      </c>
      <c r="M58" s="19" t="b">
        <v>1</v>
      </c>
      <c r="N58" s="19" t="b">
        <v>1</v>
      </c>
      <c r="O58" s="19" t="b">
        <v>1</v>
      </c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</row>
    <row r="59" ht="15.75" customHeight="1" outlineLevel="1">
      <c r="A59" s="19" t="b">
        <v>0</v>
      </c>
      <c r="B59" s="27" t="s">
        <v>420</v>
      </c>
      <c r="C59" s="262" t="s">
        <v>20</v>
      </c>
      <c r="D59" s="34" t="s">
        <v>55</v>
      </c>
      <c r="E59" s="27">
        <v>4.5</v>
      </c>
      <c r="F59" s="27">
        <v>2.0</v>
      </c>
      <c r="G59" s="34" t="s">
        <v>70</v>
      </c>
      <c r="H59" s="27" t="s">
        <v>31</v>
      </c>
      <c r="I59" s="27" t="s">
        <v>31</v>
      </c>
      <c r="J59" s="263">
        <v>45792.0</v>
      </c>
      <c r="K59" s="19" t="b">
        <v>1</v>
      </c>
      <c r="L59" s="19" t="b">
        <v>1</v>
      </c>
      <c r="M59" s="19" t="b">
        <v>1</v>
      </c>
      <c r="N59" s="19" t="b">
        <v>1</v>
      </c>
      <c r="O59" s="19" t="b">
        <v>1</v>
      </c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</row>
    <row r="60" ht="15.75" customHeight="1" outlineLevel="1">
      <c r="A60" s="117"/>
      <c r="B60" s="35"/>
      <c r="C60" s="35"/>
      <c r="D60" s="35"/>
      <c r="E60" s="34"/>
      <c r="F60" s="34"/>
      <c r="G60" s="34"/>
      <c r="H60" s="35"/>
      <c r="I60" s="35"/>
      <c r="J60" s="34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</row>
    <row r="61" ht="15.75" customHeight="1" outlineLevel="1">
      <c r="A61" s="117"/>
      <c r="B61" s="34"/>
      <c r="C61" s="34"/>
      <c r="D61" s="34"/>
      <c r="E61" s="34">
        <f>SUM(E2:E59)</f>
        <v>270.5</v>
      </c>
      <c r="F61" s="34"/>
      <c r="G61" s="34"/>
      <c r="H61" s="34"/>
      <c r="I61" s="34"/>
      <c r="J61" s="34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</row>
    <row r="62" ht="15.75" customHeight="1" outlineLevel="1">
      <c r="A62" s="117"/>
      <c r="B62" s="34"/>
      <c r="C62" s="34"/>
      <c r="D62" s="34"/>
      <c r="E62" s="34"/>
      <c r="F62" s="34"/>
      <c r="G62" s="34"/>
      <c r="H62" s="34"/>
      <c r="I62" s="34"/>
      <c r="J62" s="34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</row>
    <row r="63" ht="15.75" customHeight="1" outlineLevel="1">
      <c r="A63" s="117"/>
      <c r="B63" s="34"/>
      <c r="C63" s="34"/>
      <c r="D63" s="34"/>
      <c r="E63" s="34"/>
      <c r="F63" s="34"/>
      <c r="G63" s="34"/>
      <c r="H63" s="34"/>
      <c r="I63" s="34"/>
      <c r="J63" s="34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</row>
    <row r="64" ht="15.75" customHeight="1" outlineLevel="1">
      <c r="A64" s="117"/>
      <c r="B64" s="34"/>
      <c r="C64" s="34"/>
      <c r="D64" s="34"/>
      <c r="E64" s="34"/>
      <c r="F64" s="34"/>
      <c r="G64" s="34"/>
      <c r="H64" s="34"/>
      <c r="I64" s="34"/>
      <c r="J64" s="34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</row>
    <row r="65" ht="15.75" customHeight="1" outlineLevel="1">
      <c r="A65" s="117"/>
      <c r="B65" s="34"/>
      <c r="C65" s="34"/>
      <c r="D65" s="34"/>
      <c r="E65" s="34"/>
      <c r="F65" s="34"/>
      <c r="G65" s="34"/>
      <c r="H65" s="34"/>
      <c r="I65" s="34"/>
      <c r="J65" s="34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</row>
    <row r="66" ht="15.75" customHeight="1" outlineLevel="1">
      <c r="A66" s="117"/>
      <c r="B66" s="34"/>
      <c r="C66" s="34"/>
      <c r="D66" s="34"/>
      <c r="E66" s="34"/>
      <c r="F66" s="34"/>
      <c r="G66" s="34"/>
      <c r="H66" s="34"/>
      <c r="I66" s="34"/>
      <c r="J66" s="34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</row>
    <row r="67" ht="15.75" customHeight="1" outlineLevel="1">
      <c r="A67" s="117"/>
      <c r="B67" s="34"/>
      <c r="C67" s="34"/>
      <c r="D67" s="34"/>
      <c r="E67" s="34"/>
      <c r="F67" s="34"/>
      <c r="G67" s="34"/>
      <c r="H67" s="34"/>
      <c r="I67" s="34"/>
      <c r="J67" s="34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</row>
    <row r="68" ht="15.75" customHeight="1" outlineLevel="1">
      <c r="A68" s="117"/>
      <c r="B68" s="34"/>
      <c r="C68" s="34"/>
      <c r="D68" s="34"/>
      <c r="E68" s="34"/>
      <c r="F68" s="34"/>
      <c r="G68" s="34"/>
      <c r="H68" s="34"/>
      <c r="I68" s="34"/>
      <c r="J68" s="34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</row>
    <row r="69" ht="15.75" customHeight="1" outlineLevel="1">
      <c r="A69" s="117"/>
      <c r="B69" s="34"/>
      <c r="C69" s="34"/>
      <c r="D69" s="34"/>
      <c r="E69" s="34"/>
      <c r="F69" s="34"/>
      <c r="G69" s="34"/>
      <c r="H69" s="34"/>
      <c r="I69" s="34"/>
      <c r="J69" s="34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</row>
    <row r="70" ht="15.75" customHeight="1" outlineLevel="1">
      <c r="A70" s="117"/>
      <c r="B70" s="34"/>
      <c r="C70" s="34"/>
      <c r="D70" s="34"/>
      <c r="E70" s="34"/>
      <c r="F70" s="34"/>
      <c r="G70" s="34"/>
      <c r="H70" s="34"/>
      <c r="I70" s="34"/>
      <c r="J70" s="34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</row>
    <row r="71" ht="15.75" customHeight="1" outlineLevel="1">
      <c r="A71" s="117"/>
      <c r="B71" s="34"/>
      <c r="C71" s="34"/>
      <c r="D71" s="34"/>
      <c r="E71" s="34"/>
      <c r="F71" s="34"/>
      <c r="G71" s="34"/>
      <c r="H71" s="34"/>
      <c r="I71" s="34"/>
      <c r="J71" s="34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</row>
    <row r="72" ht="15.75" customHeight="1" outlineLevel="1">
      <c r="A72" s="117"/>
      <c r="B72" s="34"/>
      <c r="C72" s="34"/>
      <c r="D72" s="34"/>
      <c r="E72" s="34"/>
      <c r="F72" s="34"/>
      <c r="G72" s="34"/>
      <c r="H72" s="34"/>
      <c r="I72" s="34"/>
      <c r="J72" s="34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</row>
    <row r="73" ht="15.75" customHeight="1" outlineLevel="1">
      <c r="A73" s="117"/>
      <c r="B73" s="34"/>
      <c r="C73" s="34"/>
      <c r="D73" s="34"/>
      <c r="E73" s="34"/>
      <c r="F73" s="34"/>
      <c r="G73" s="34"/>
      <c r="H73" s="34"/>
      <c r="I73" s="34"/>
      <c r="J73" s="34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</row>
    <row r="74" ht="15.75" customHeight="1" outlineLevel="1">
      <c r="A74" s="117"/>
      <c r="B74" s="34"/>
      <c r="C74" s="34"/>
      <c r="D74" s="34"/>
      <c r="E74" s="34"/>
      <c r="F74" s="34"/>
      <c r="G74" s="34"/>
      <c r="H74" s="34"/>
      <c r="I74" s="34"/>
      <c r="J74" s="34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</row>
    <row r="75" ht="15.75" customHeight="1" outlineLevel="1">
      <c r="A75" s="117"/>
      <c r="B75" s="34"/>
      <c r="C75" s="34"/>
      <c r="D75" s="34"/>
      <c r="E75" s="34"/>
      <c r="F75" s="34"/>
      <c r="G75" s="34"/>
      <c r="H75" s="34"/>
      <c r="I75" s="34"/>
      <c r="J75" s="34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</row>
    <row r="76" ht="15.75" customHeight="1" outlineLevel="1">
      <c r="A76" s="117"/>
      <c r="B76" s="34"/>
      <c r="C76" s="34"/>
      <c r="D76" s="34"/>
      <c r="E76" s="34"/>
      <c r="F76" s="34"/>
      <c r="G76" s="34"/>
      <c r="H76" s="34"/>
      <c r="I76" s="34"/>
      <c r="J76" s="34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</row>
    <row r="77" ht="15.75" customHeight="1" outlineLevel="1">
      <c r="A77" s="117"/>
      <c r="B77" s="34"/>
      <c r="C77" s="34"/>
      <c r="D77" s="34"/>
      <c r="E77" s="34"/>
      <c r="F77" s="34"/>
      <c r="G77" s="34"/>
      <c r="H77" s="34"/>
      <c r="I77" s="34"/>
      <c r="J77" s="34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</row>
    <row r="78" ht="15.75" customHeight="1" outlineLevel="1">
      <c r="A78" s="117"/>
      <c r="B78" s="34"/>
      <c r="C78" s="34"/>
      <c r="D78" s="34"/>
      <c r="E78" s="34"/>
      <c r="F78" s="34"/>
      <c r="G78" s="34"/>
      <c r="H78" s="34"/>
      <c r="I78" s="34"/>
      <c r="J78" s="34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</row>
    <row r="79" ht="15.75" customHeight="1" outlineLevel="1">
      <c r="A79" s="117"/>
      <c r="B79" s="34"/>
      <c r="C79" s="34"/>
      <c r="D79" s="34"/>
      <c r="E79" s="34"/>
      <c r="F79" s="34"/>
      <c r="G79" s="34"/>
      <c r="H79" s="34"/>
      <c r="I79" s="34"/>
      <c r="J79" s="34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</row>
    <row r="80" ht="15.75" customHeight="1" outlineLevel="1">
      <c r="A80" s="117"/>
      <c r="B80" s="34"/>
      <c r="C80" s="34"/>
      <c r="D80" s="34"/>
      <c r="E80" s="34"/>
      <c r="F80" s="34"/>
      <c r="G80" s="34"/>
      <c r="H80" s="34"/>
      <c r="I80" s="34"/>
      <c r="J80" s="34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</row>
    <row r="81" ht="15.75" customHeight="1" outlineLevel="1">
      <c r="A81" s="117"/>
      <c r="B81" s="34"/>
      <c r="C81" s="34"/>
      <c r="D81" s="34"/>
      <c r="E81" s="34"/>
      <c r="F81" s="34"/>
      <c r="G81" s="34"/>
      <c r="H81" s="34"/>
      <c r="I81" s="34"/>
      <c r="J81" s="34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</row>
    <row r="82" ht="15.75" customHeight="1" outlineLevel="1">
      <c r="A82" s="117"/>
      <c r="B82" s="34"/>
      <c r="C82" s="34"/>
      <c r="D82" s="34"/>
      <c r="E82" s="34"/>
      <c r="F82" s="34"/>
      <c r="G82" s="34"/>
      <c r="H82" s="34"/>
      <c r="I82" s="34"/>
      <c r="J82" s="34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</row>
    <row r="83" ht="15.75" customHeight="1" outlineLevel="1">
      <c r="A83" s="117"/>
      <c r="B83" s="34"/>
      <c r="C83" s="34"/>
      <c r="D83" s="34"/>
      <c r="E83" s="34"/>
      <c r="F83" s="34"/>
      <c r="G83" s="34"/>
      <c r="H83" s="34"/>
      <c r="I83" s="34"/>
      <c r="J83" s="34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</row>
    <row r="84" ht="15.75" customHeight="1" outlineLevel="1">
      <c r="A84" s="117"/>
      <c r="B84" s="34"/>
      <c r="C84" s="34"/>
      <c r="D84" s="34"/>
      <c r="E84" s="34"/>
      <c r="F84" s="34"/>
      <c r="G84" s="34"/>
      <c r="H84" s="34"/>
      <c r="I84" s="34"/>
      <c r="J84" s="34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</row>
    <row r="85" ht="15.75" customHeight="1" outlineLevel="1">
      <c r="A85" s="117"/>
      <c r="B85" s="34"/>
      <c r="C85" s="34"/>
      <c r="D85" s="34"/>
      <c r="E85" s="34"/>
      <c r="F85" s="34"/>
      <c r="G85" s="34"/>
      <c r="H85" s="34"/>
      <c r="I85" s="34"/>
      <c r="J85" s="34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</row>
    <row r="86" ht="15.75" customHeight="1" outlineLevel="1">
      <c r="A86" s="117"/>
      <c r="B86" s="34"/>
      <c r="C86" s="34"/>
      <c r="D86" s="34"/>
      <c r="E86" s="34"/>
      <c r="F86" s="34"/>
      <c r="G86" s="34"/>
      <c r="H86" s="34"/>
      <c r="I86" s="34"/>
      <c r="J86" s="34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</row>
    <row r="87" ht="15.75" customHeight="1" outlineLevel="1">
      <c r="A87" s="117"/>
      <c r="B87" s="34"/>
      <c r="C87" s="34"/>
      <c r="D87" s="34"/>
      <c r="E87" s="34"/>
      <c r="F87" s="34"/>
      <c r="G87" s="34"/>
      <c r="H87" s="34"/>
      <c r="I87" s="34"/>
      <c r="J87" s="34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</row>
    <row r="88" ht="15.75" customHeight="1" outlineLevel="1">
      <c r="A88" s="117"/>
      <c r="B88" s="34"/>
      <c r="C88" s="34"/>
      <c r="D88" s="34"/>
      <c r="E88" s="34"/>
      <c r="F88" s="34"/>
      <c r="G88" s="34"/>
      <c r="H88" s="34"/>
      <c r="I88" s="34"/>
      <c r="J88" s="34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</row>
    <row r="89" ht="15.75" customHeight="1" outlineLevel="1">
      <c r="A89" s="117"/>
      <c r="B89" s="34"/>
      <c r="C89" s="34"/>
      <c r="D89" s="34"/>
      <c r="E89" s="34"/>
      <c r="F89" s="34"/>
      <c r="G89" s="34"/>
      <c r="H89" s="34"/>
      <c r="I89" s="34"/>
      <c r="J89" s="34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</row>
    <row r="90" ht="15.75" customHeight="1" outlineLevel="1">
      <c r="A90" s="117"/>
      <c r="B90" s="34"/>
      <c r="C90" s="34"/>
      <c r="D90" s="34"/>
      <c r="E90" s="34"/>
      <c r="F90" s="34"/>
      <c r="G90" s="34"/>
      <c r="H90" s="34"/>
      <c r="I90" s="34"/>
      <c r="J90" s="34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</row>
    <row r="91" ht="15.75" customHeight="1" outlineLevel="1">
      <c r="A91" s="117"/>
      <c r="B91" s="34"/>
      <c r="C91" s="34"/>
      <c r="D91" s="34"/>
      <c r="E91" s="34"/>
      <c r="F91" s="34"/>
      <c r="G91" s="34"/>
      <c r="H91" s="34"/>
      <c r="I91" s="34"/>
      <c r="J91" s="34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</row>
    <row r="92" ht="15.75" customHeight="1" outlineLevel="1">
      <c r="A92" s="117"/>
      <c r="B92" s="34"/>
      <c r="C92" s="34"/>
      <c r="D92" s="34"/>
      <c r="E92" s="34"/>
      <c r="F92" s="34"/>
      <c r="G92" s="34"/>
      <c r="H92" s="34"/>
      <c r="I92" s="34"/>
      <c r="J92" s="34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</row>
    <row r="93" ht="15.75" customHeight="1" outlineLevel="1">
      <c r="A93" s="117"/>
      <c r="B93" s="34"/>
      <c r="C93" s="34"/>
      <c r="D93" s="34"/>
      <c r="E93" s="34"/>
      <c r="F93" s="34"/>
      <c r="G93" s="34"/>
      <c r="H93" s="34"/>
      <c r="I93" s="34"/>
      <c r="J93" s="34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</row>
    <row r="94" ht="15.75" customHeight="1" outlineLevel="1">
      <c r="A94" s="117"/>
      <c r="B94" s="34"/>
      <c r="C94" s="34"/>
      <c r="D94" s="34"/>
      <c r="E94" s="34"/>
      <c r="F94" s="34"/>
      <c r="G94" s="34"/>
      <c r="H94" s="34"/>
      <c r="I94" s="34"/>
      <c r="J94" s="34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</row>
    <row r="95" ht="15.75" customHeight="1" outlineLevel="1">
      <c r="A95" s="117"/>
      <c r="B95" s="34"/>
      <c r="C95" s="34"/>
      <c r="D95" s="34"/>
      <c r="E95" s="34"/>
      <c r="F95" s="34"/>
      <c r="G95" s="34"/>
      <c r="H95" s="34"/>
      <c r="I95" s="34"/>
      <c r="J95" s="34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</row>
    <row r="96" ht="15.75" customHeight="1" outlineLevel="1">
      <c r="A96" s="117"/>
      <c r="B96" s="34"/>
      <c r="C96" s="34"/>
      <c r="D96" s="34"/>
      <c r="E96" s="34"/>
      <c r="F96" s="34"/>
      <c r="G96" s="34"/>
      <c r="H96" s="34"/>
      <c r="I96" s="34"/>
      <c r="J96" s="34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</row>
    <row r="97" ht="15.75" customHeight="1" outlineLevel="1">
      <c r="A97" s="117"/>
      <c r="B97" s="34"/>
      <c r="C97" s="34"/>
      <c r="D97" s="34"/>
      <c r="E97" s="34"/>
      <c r="F97" s="34"/>
      <c r="G97" s="34"/>
      <c r="H97" s="34"/>
      <c r="I97" s="34"/>
      <c r="J97" s="34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</row>
    <row r="98" ht="15.75" customHeight="1" outlineLevel="1">
      <c r="A98" s="117"/>
      <c r="B98" s="34"/>
      <c r="C98" s="34"/>
      <c r="D98" s="34"/>
      <c r="E98" s="34"/>
      <c r="F98" s="34"/>
      <c r="G98" s="34"/>
      <c r="H98" s="34"/>
      <c r="I98" s="34"/>
      <c r="J98" s="34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</row>
    <row r="99" ht="15.75" customHeight="1" outlineLevel="1">
      <c r="A99" s="117"/>
      <c r="B99" s="34"/>
      <c r="C99" s="34"/>
      <c r="D99" s="34"/>
      <c r="E99" s="34"/>
      <c r="F99" s="34"/>
      <c r="G99" s="34"/>
      <c r="H99" s="34"/>
      <c r="I99" s="34"/>
      <c r="J99" s="34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</row>
    <row r="100" ht="15.75" customHeight="1" outlineLevel="1">
      <c r="A100" s="117"/>
      <c r="B100" s="34"/>
      <c r="C100" s="34"/>
      <c r="D100" s="34"/>
      <c r="E100" s="34"/>
      <c r="F100" s="34"/>
      <c r="G100" s="34"/>
      <c r="H100" s="34"/>
      <c r="I100" s="34"/>
      <c r="J100" s="34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</row>
    <row r="101" ht="15.75" customHeight="1" outlineLevel="1">
      <c r="A101" s="117"/>
      <c r="B101" s="34"/>
      <c r="C101" s="34"/>
      <c r="D101" s="34"/>
      <c r="E101" s="34"/>
      <c r="F101" s="34"/>
      <c r="G101" s="34"/>
      <c r="H101" s="34"/>
      <c r="I101" s="34"/>
      <c r="J101" s="34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</row>
    <row r="102" ht="15.75" customHeight="1" outlineLevel="1">
      <c r="A102" s="117"/>
      <c r="B102" s="34"/>
      <c r="C102" s="34"/>
      <c r="D102" s="34"/>
      <c r="E102" s="34"/>
      <c r="F102" s="34"/>
      <c r="G102" s="34"/>
      <c r="H102" s="34"/>
      <c r="I102" s="34"/>
      <c r="J102" s="34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</row>
    <row r="103" ht="15.75" customHeight="1" outlineLevel="1">
      <c r="A103" s="117"/>
      <c r="B103" s="34"/>
      <c r="C103" s="34"/>
      <c r="D103" s="34"/>
      <c r="E103" s="34"/>
      <c r="F103" s="34"/>
      <c r="G103" s="34"/>
      <c r="H103" s="34"/>
      <c r="I103" s="34"/>
      <c r="J103" s="34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</row>
    <row r="104" ht="15.75" customHeight="1" outlineLevel="1">
      <c r="A104" s="117"/>
      <c r="B104" s="34"/>
      <c r="C104" s="34"/>
      <c r="D104" s="34"/>
      <c r="E104" s="34"/>
      <c r="F104" s="34"/>
      <c r="G104" s="34"/>
      <c r="H104" s="34"/>
      <c r="I104" s="34"/>
      <c r="J104" s="34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</row>
    <row r="105" ht="15.75" customHeight="1" outlineLevel="1">
      <c r="A105" s="117"/>
      <c r="B105" s="34"/>
      <c r="C105" s="34"/>
      <c r="D105" s="34"/>
      <c r="E105" s="34"/>
      <c r="F105" s="34"/>
      <c r="G105" s="34"/>
      <c r="H105" s="34"/>
      <c r="I105" s="34"/>
      <c r="J105" s="34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</row>
    <row r="106" ht="15.75" customHeight="1" outlineLevel="1">
      <c r="A106" s="117"/>
      <c r="B106" s="34"/>
      <c r="C106" s="34"/>
      <c r="D106" s="34"/>
      <c r="E106" s="34"/>
      <c r="F106" s="34"/>
      <c r="G106" s="34"/>
      <c r="H106" s="34"/>
      <c r="I106" s="34"/>
      <c r="J106" s="34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</row>
    <row r="107" ht="15.75" customHeight="1">
      <c r="A107" s="117"/>
      <c r="B107" s="118"/>
      <c r="C107" s="118"/>
      <c r="D107" s="118"/>
      <c r="E107" s="118"/>
      <c r="F107" s="250"/>
      <c r="G107" s="250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</row>
    <row r="108" ht="15.75" customHeight="1">
      <c r="A108" s="117"/>
      <c r="B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</row>
    <row r="109" ht="15.75" customHeight="1">
      <c r="A109" s="118"/>
      <c r="B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</row>
    <row r="110" ht="15.75" customHeight="1">
      <c r="A110" s="118"/>
      <c r="B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</row>
    <row r="111" ht="15.75" customHeight="1">
      <c r="A111" s="118"/>
      <c r="B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</row>
    <row r="112" ht="15.75" customHeight="1">
      <c r="A112" s="118"/>
      <c r="B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</row>
    <row r="113" ht="15.75" customHeight="1">
      <c r="A113" s="118"/>
      <c r="B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</row>
    <row r="114" ht="15.75" customHeight="1">
      <c r="A114" s="118"/>
      <c r="B114" s="118"/>
      <c r="C114" s="118"/>
      <c r="D114" s="118"/>
      <c r="E114" s="118"/>
      <c r="F114" s="250"/>
      <c r="G114" s="250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</row>
    <row r="115" ht="15.75" customHeight="1">
      <c r="A115" s="118"/>
      <c r="B115" s="118"/>
      <c r="C115" s="118"/>
      <c r="D115" s="118"/>
      <c r="E115" s="118"/>
      <c r="F115" s="250"/>
      <c r="G115" s="250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</row>
    <row r="116" ht="15.75" customHeight="1">
      <c r="A116" s="118"/>
      <c r="B116" s="118"/>
      <c r="C116" s="118"/>
      <c r="D116" s="118"/>
      <c r="E116" s="118"/>
      <c r="F116" s="250"/>
      <c r="G116" s="250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</row>
    <row r="117" ht="15.75" customHeight="1">
      <c r="A117" s="118"/>
      <c r="B117" s="118"/>
      <c r="C117" s="118"/>
      <c r="D117" s="118"/>
      <c r="E117" s="118"/>
      <c r="F117" s="250"/>
      <c r="G117" s="250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</row>
    <row r="118" ht="15.75" customHeight="1">
      <c r="A118" s="118"/>
      <c r="B118" s="118"/>
      <c r="C118" s="118"/>
      <c r="D118" s="118"/>
      <c r="E118" s="118"/>
      <c r="F118" s="250"/>
      <c r="G118" s="250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</row>
    <row r="119" ht="15.75" customHeight="1">
      <c r="A119" s="118"/>
      <c r="B119" s="118"/>
      <c r="C119" s="118"/>
      <c r="D119" s="118"/>
      <c r="E119" s="118"/>
      <c r="F119" s="250"/>
      <c r="G119" s="250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</row>
    <row r="120" ht="15.75" customHeight="1">
      <c r="A120" s="118"/>
      <c r="B120" s="118"/>
      <c r="C120" s="118"/>
      <c r="D120" s="118"/>
      <c r="E120" s="118"/>
      <c r="F120" s="250"/>
      <c r="G120" s="250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</row>
    <row r="121" ht="15.75" customHeight="1">
      <c r="A121" s="118"/>
      <c r="B121" s="118"/>
      <c r="C121" s="118"/>
      <c r="D121" s="118"/>
      <c r="E121" s="118"/>
      <c r="F121" s="250"/>
      <c r="G121" s="250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</row>
    <row r="122" ht="15.75" customHeight="1">
      <c r="A122" s="118"/>
      <c r="B122" s="118"/>
      <c r="C122" s="118"/>
      <c r="D122" s="118"/>
      <c r="E122" s="118"/>
      <c r="F122" s="250"/>
      <c r="G122" s="250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</row>
    <row r="123" ht="15.75" customHeight="1">
      <c r="A123" s="118"/>
      <c r="B123" s="118"/>
      <c r="C123" s="118"/>
      <c r="D123" s="118"/>
      <c r="E123" s="118"/>
      <c r="F123" s="250"/>
      <c r="G123" s="250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</row>
    <row r="124" ht="15.75" customHeight="1">
      <c r="A124" s="118"/>
      <c r="B124" s="118"/>
      <c r="C124" s="118"/>
      <c r="D124" s="118"/>
      <c r="E124" s="118"/>
      <c r="F124" s="250"/>
      <c r="G124" s="250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</row>
    <row r="125" ht="15.75" customHeight="1">
      <c r="A125" s="118"/>
      <c r="B125" s="118"/>
      <c r="C125" s="118"/>
      <c r="D125" s="118"/>
      <c r="E125" s="118"/>
      <c r="F125" s="250"/>
      <c r="G125" s="250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</row>
    <row r="126" ht="15.75" customHeight="1">
      <c r="A126" s="118"/>
      <c r="B126" s="118"/>
      <c r="C126" s="118"/>
      <c r="D126" s="118"/>
      <c r="E126" s="118"/>
      <c r="F126" s="250"/>
      <c r="G126" s="250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</row>
    <row r="127" ht="15.75" customHeight="1">
      <c r="A127" s="118"/>
      <c r="B127" s="118"/>
      <c r="C127" s="118"/>
      <c r="D127" s="118"/>
      <c r="E127" s="118"/>
      <c r="F127" s="250"/>
      <c r="G127" s="250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</row>
    <row r="128" ht="15.75" customHeight="1">
      <c r="A128" s="118"/>
      <c r="B128" s="118"/>
      <c r="C128" s="118"/>
      <c r="D128" s="118"/>
      <c r="E128" s="118"/>
      <c r="F128" s="250"/>
      <c r="G128" s="250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</row>
    <row r="129" ht="15.75" customHeight="1">
      <c r="A129" s="118"/>
      <c r="B129" s="118"/>
      <c r="C129" s="118"/>
      <c r="D129" s="118"/>
      <c r="E129" s="118"/>
      <c r="F129" s="250"/>
      <c r="G129" s="250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</row>
    <row r="130" ht="15.75" customHeight="1">
      <c r="A130" s="118"/>
      <c r="B130" s="118"/>
      <c r="C130" s="118"/>
      <c r="D130" s="118"/>
      <c r="E130" s="118"/>
      <c r="F130" s="250"/>
      <c r="G130" s="250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</row>
    <row r="131" ht="15.75" customHeight="1">
      <c r="A131" s="118"/>
      <c r="B131" s="118"/>
      <c r="C131" s="118"/>
      <c r="D131" s="118"/>
      <c r="E131" s="118"/>
      <c r="F131" s="250"/>
      <c r="G131" s="250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</row>
    <row r="132" ht="15.75" customHeight="1">
      <c r="A132" s="118"/>
      <c r="B132" s="118"/>
      <c r="C132" s="118"/>
      <c r="D132" s="118"/>
      <c r="E132" s="118"/>
      <c r="F132" s="250"/>
      <c r="G132" s="250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</row>
    <row r="133" ht="15.75" customHeight="1">
      <c r="A133" s="118"/>
      <c r="B133" s="118"/>
      <c r="C133" s="118"/>
      <c r="D133" s="118"/>
      <c r="E133" s="118"/>
      <c r="F133" s="250"/>
      <c r="G133" s="250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</row>
    <row r="134" ht="15.75" customHeight="1">
      <c r="A134" s="118"/>
      <c r="B134" s="118"/>
      <c r="C134" s="118"/>
      <c r="D134" s="118"/>
      <c r="E134" s="118"/>
      <c r="F134" s="250"/>
      <c r="G134" s="250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</row>
    <row r="135" ht="15.75" customHeight="1">
      <c r="A135" s="118"/>
      <c r="B135" s="118"/>
      <c r="C135" s="118"/>
      <c r="D135" s="118"/>
      <c r="E135" s="118"/>
      <c r="F135" s="250"/>
      <c r="G135" s="250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</row>
    <row r="136" ht="15.75" customHeight="1">
      <c r="A136" s="118"/>
      <c r="B136" s="118"/>
      <c r="C136" s="118"/>
      <c r="D136" s="118"/>
      <c r="E136" s="118"/>
      <c r="F136" s="250"/>
      <c r="G136" s="250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</row>
    <row r="137" ht="15.75" customHeight="1">
      <c r="A137" s="118"/>
      <c r="B137" s="118"/>
      <c r="C137" s="118"/>
      <c r="D137" s="118"/>
      <c r="E137" s="118"/>
      <c r="F137" s="250"/>
      <c r="G137" s="250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</row>
    <row r="138" ht="15.75" customHeight="1">
      <c r="A138" s="118"/>
      <c r="B138" s="118"/>
      <c r="C138" s="118"/>
      <c r="D138" s="118"/>
      <c r="E138" s="118"/>
      <c r="F138" s="250"/>
      <c r="G138" s="250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</row>
    <row r="139" ht="15.75" customHeight="1">
      <c r="A139" s="118"/>
      <c r="B139" s="118"/>
      <c r="C139" s="118"/>
      <c r="D139" s="118"/>
      <c r="E139" s="118"/>
      <c r="F139" s="250"/>
      <c r="G139" s="250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</row>
    <row r="140" ht="15.75" customHeight="1">
      <c r="A140" s="118"/>
      <c r="B140" s="118"/>
      <c r="C140" s="118"/>
      <c r="D140" s="118"/>
      <c r="E140" s="118"/>
      <c r="F140" s="250"/>
      <c r="G140" s="250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</row>
    <row r="141" ht="15.75" customHeight="1">
      <c r="A141" s="118"/>
      <c r="B141" s="118"/>
      <c r="C141" s="118"/>
      <c r="D141" s="118"/>
      <c r="E141" s="118"/>
      <c r="F141" s="250"/>
      <c r="G141" s="250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</row>
    <row r="142" ht="15.75" customHeight="1">
      <c r="A142" s="118"/>
      <c r="B142" s="118"/>
      <c r="C142" s="118"/>
      <c r="D142" s="118"/>
      <c r="E142" s="118"/>
      <c r="F142" s="250"/>
      <c r="G142" s="250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</row>
    <row r="143" ht="15.75" customHeight="1">
      <c r="A143" s="118"/>
      <c r="B143" s="118"/>
      <c r="C143" s="118"/>
      <c r="D143" s="118"/>
      <c r="E143" s="118"/>
      <c r="F143" s="250"/>
      <c r="G143" s="250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</row>
    <row r="144" ht="15.75" customHeight="1">
      <c r="A144" s="118"/>
      <c r="B144" s="118"/>
      <c r="C144" s="118"/>
      <c r="D144" s="118"/>
      <c r="E144" s="118"/>
      <c r="F144" s="250"/>
      <c r="G144" s="250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</row>
    <row r="145" ht="15.75" customHeight="1">
      <c r="A145" s="118"/>
      <c r="B145" s="118"/>
      <c r="C145" s="118"/>
      <c r="D145" s="118"/>
      <c r="E145" s="118"/>
      <c r="F145" s="250"/>
      <c r="G145" s="250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</row>
    <row r="146" ht="15.75" customHeight="1">
      <c r="A146" s="118"/>
      <c r="B146" s="118"/>
      <c r="C146" s="118"/>
      <c r="D146" s="118"/>
      <c r="E146" s="118"/>
      <c r="F146" s="250"/>
      <c r="G146" s="250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</row>
    <row r="147" ht="15.75" customHeight="1">
      <c r="A147" s="118"/>
      <c r="B147" s="118"/>
      <c r="C147" s="118"/>
      <c r="D147" s="118"/>
      <c r="E147" s="118"/>
      <c r="F147" s="250"/>
      <c r="G147" s="250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</row>
    <row r="148" ht="15.75" customHeight="1">
      <c r="A148" s="118"/>
      <c r="B148" s="118"/>
      <c r="C148" s="118"/>
      <c r="D148" s="118"/>
      <c r="E148" s="118"/>
      <c r="F148" s="250"/>
      <c r="G148" s="250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</row>
    <row r="149" ht="15.75" customHeight="1">
      <c r="A149" s="118"/>
      <c r="B149" s="118"/>
      <c r="C149" s="118"/>
      <c r="D149" s="118"/>
      <c r="E149" s="118"/>
      <c r="F149" s="250"/>
      <c r="G149" s="250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</row>
    <row r="150" ht="15.75" customHeight="1">
      <c r="A150" s="118"/>
      <c r="B150" s="118"/>
      <c r="C150" s="118"/>
      <c r="D150" s="118"/>
      <c r="E150" s="118"/>
      <c r="F150" s="250"/>
      <c r="G150" s="250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</row>
    <row r="151" ht="15.75" customHeight="1">
      <c r="A151" s="118"/>
      <c r="B151" s="118"/>
      <c r="C151" s="118"/>
      <c r="D151" s="118"/>
      <c r="E151" s="118"/>
      <c r="F151" s="250"/>
      <c r="G151" s="250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</row>
    <row r="152" ht="15.75" customHeight="1">
      <c r="A152" s="118"/>
      <c r="B152" s="118"/>
      <c r="C152" s="118"/>
      <c r="D152" s="118"/>
      <c r="E152" s="118"/>
      <c r="F152" s="250"/>
      <c r="G152" s="250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</row>
    <row r="153" ht="15.75" customHeight="1">
      <c r="A153" s="118"/>
      <c r="B153" s="118"/>
      <c r="C153" s="118"/>
      <c r="D153" s="118"/>
      <c r="E153" s="118"/>
      <c r="F153" s="250"/>
      <c r="G153" s="250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</row>
    <row r="154" ht="15.75" customHeight="1">
      <c r="A154" s="118"/>
      <c r="B154" s="118"/>
      <c r="C154" s="118"/>
      <c r="D154" s="118"/>
      <c r="E154" s="118"/>
      <c r="F154" s="250"/>
      <c r="G154" s="250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</row>
    <row r="155" ht="15.75" customHeight="1">
      <c r="A155" s="118"/>
      <c r="B155" s="118"/>
      <c r="C155" s="118"/>
      <c r="D155" s="118"/>
      <c r="E155" s="118"/>
      <c r="F155" s="250"/>
      <c r="G155" s="250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</row>
    <row r="156" ht="15.75" customHeight="1">
      <c r="A156" s="118"/>
      <c r="B156" s="118"/>
      <c r="C156" s="118"/>
      <c r="D156" s="118"/>
      <c r="E156" s="118"/>
      <c r="F156" s="250"/>
      <c r="G156" s="250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</row>
    <row r="157" ht="15.75" customHeight="1">
      <c r="A157" s="118"/>
      <c r="B157" s="118"/>
      <c r="C157" s="118"/>
      <c r="D157" s="118"/>
      <c r="E157" s="118"/>
      <c r="F157" s="250"/>
      <c r="G157" s="250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</row>
    <row r="158" ht="15.75" customHeight="1">
      <c r="A158" s="118"/>
      <c r="B158" s="118"/>
      <c r="C158" s="118"/>
      <c r="D158" s="118"/>
      <c r="E158" s="118"/>
      <c r="F158" s="250"/>
      <c r="G158" s="250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</row>
    <row r="159" ht="15.75" customHeight="1">
      <c r="A159" s="118"/>
      <c r="B159" s="118"/>
      <c r="C159" s="118"/>
      <c r="D159" s="118"/>
      <c r="E159" s="118"/>
      <c r="F159" s="250"/>
      <c r="G159" s="250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</row>
    <row r="160" ht="15.75" customHeight="1">
      <c r="A160" s="118"/>
      <c r="B160" s="118"/>
      <c r="C160" s="118"/>
      <c r="D160" s="118"/>
      <c r="E160" s="118"/>
      <c r="F160" s="250"/>
      <c r="G160" s="250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</row>
    <row r="161" ht="15.75" customHeight="1">
      <c r="A161" s="118"/>
      <c r="B161" s="118"/>
      <c r="C161" s="118"/>
      <c r="D161" s="118"/>
      <c r="E161" s="118"/>
      <c r="F161" s="250"/>
      <c r="G161" s="250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</row>
    <row r="162" ht="15.75" customHeight="1">
      <c r="A162" s="118"/>
      <c r="B162" s="118"/>
      <c r="C162" s="118"/>
      <c r="D162" s="118"/>
      <c r="E162" s="118"/>
      <c r="F162" s="250"/>
      <c r="G162" s="250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</row>
    <row r="163" ht="15.75" customHeight="1">
      <c r="A163" s="118"/>
      <c r="B163" s="118"/>
      <c r="C163" s="118"/>
      <c r="D163" s="118"/>
      <c r="E163" s="118"/>
      <c r="F163" s="250"/>
      <c r="G163" s="250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</row>
    <row r="164" ht="15.75" customHeight="1">
      <c r="A164" s="118"/>
      <c r="B164" s="118"/>
      <c r="C164" s="118"/>
      <c r="D164" s="118"/>
      <c r="E164" s="118"/>
      <c r="F164" s="250"/>
      <c r="G164" s="250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</row>
    <row r="165" ht="15.75" customHeight="1">
      <c r="A165" s="118"/>
      <c r="B165" s="118"/>
      <c r="C165" s="118"/>
      <c r="D165" s="118"/>
      <c r="E165" s="118"/>
      <c r="F165" s="250"/>
      <c r="G165" s="250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</row>
    <row r="166" ht="15.75" customHeight="1">
      <c r="A166" s="118"/>
      <c r="B166" s="118"/>
      <c r="C166" s="118"/>
      <c r="D166" s="118"/>
      <c r="E166" s="118"/>
      <c r="F166" s="250"/>
      <c r="G166" s="250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</row>
    <row r="167" ht="15.75" customHeight="1">
      <c r="A167" s="118"/>
      <c r="B167" s="118"/>
      <c r="C167" s="118"/>
      <c r="D167" s="118"/>
      <c r="E167" s="118"/>
      <c r="F167" s="250"/>
      <c r="G167" s="250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</row>
    <row r="168" ht="15.75" customHeight="1">
      <c r="A168" s="118"/>
      <c r="B168" s="118"/>
      <c r="C168" s="118"/>
      <c r="D168" s="118"/>
      <c r="E168" s="118"/>
      <c r="F168" s="250"/>
      <c r="G168" s="250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</row>
    <row r="169" ht="15.75" customHeight="1">
      <c r="A169" s="118"/>
      <c r="B169" s="118"/>
      <c r="C169" s="118"/>
      <c r="D169" s="118"/>
      <c r="E169" s="118"/>
      <c r="F169" s="250"/>
      <c r="G169" s="250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</row>
    <row r="170" ht="15.75" customHeight="1">
      <c r="A170" s="118"/>
      <c r="B170" s="118"/>
      <c r="C170" s="118"/>
      <c r="D170" s="118"/>
      <c r="E170" s="118"/>
      <c r="F170" s="250"/>
      <c r="G170" s="250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</row>
    <row r="171" ht="15.75" customHeight="1">
      <c r="A171" s="118"/>
      <c r="B171" s="118"/>
      <c r="C171" s="118"/>
      <c r="D171" s="118"/>
      <c r="E171" s="118"/>
      <c r="F171" s="250"/>
      <c r="G171" s="250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</row>
    <row r="172" ht="15.75" customHeight="1">
      <c r="A172" s="118"/>
      <c r="B172" s="118"/>
      <c r="C172" s="118"/>
      <c r="D172" s="118"/>
      <c r="E172" s="118"/>
      <c r="F172" s="250"/>
      <c r="G172" s="250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</row>
    <row r="173" ht="15.75" customHeight="1">
      <c r="A173" s="118"/>
      <c r="B173" s="118"/>
      <c r="C173" s="118"/>
      <c r="D173" s="118"/>
      <c r="E173" s="118"/>
      <c r="F173" s="250"/>
      <c r="G173" s="250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</row>
    <row r="174" ht="15.75" customHeight="1">
      <c r="A174" s="118"/>
      <c r="B174" s="118"/>
      <c r="C174" s="118"/>
      <c r="D174" s="118"/>
      <c r="E174" s="118"/>
      <c r="F174" s="250"/>
      <c r="G174" s="250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</row>
    <row r="175" ht="15.75" customHeight="1">
      <c r="A175" s="118"/>
      <c r="B175" s="118"/>
      <c r="C175" s="118"/>
      <c r="D175" s="118"/>
      <c r="E175" s="118"/>
      <c r="F175" s="250"/>
      <c r="G175" s="250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</row>
    <row r="176" ht="15.75" customHeight="1">
      <c r="A176" s="118"/>
      <c r="B176" s="118"/>
      <c r="C176" s="118"/>
      <c r="D176" s="118"/>
      <c r="E176" s="118"/>
      <c r="F176" s="250"/>
      <c r="G176" s="250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</row>
    <row r="177" ht="15.75" customHeight="1">
      <c r="A177" s="118"/>
      <c r="B177" s="118"/>
      <c r="C177" s="118"/>
      <c r="D177" s="118"/>
      <c r="E177" s="118"/>
      <c r="F177" s="250"/>
      <c r="G177" s="250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</row>
    <row r="178" ht="15.75" customHeight="1">
      <c r="A178" s="118"/>
      <c r="B178" s="118"/>
      <c r="C178" s="118"/>
      <c r="D178" s="118"/>
      <c r="E178" s="118"/>
      <c r="F178" s="250"/>
      <c r="G178" s="250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</row>
    <row r="179" ht="15.75" customHeight="1">
      <c r="A179" s="118"/>
      <c r="B179" s="118"/>
      <c r="C179" s="118"/>
      <c r="D179" s="118"/>
      <c r="E179" s="118"/>
      <c r="F179" s="250"/>
      <c r="G179" s="250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</row>
    <row r="180" ht="15.75" customHeight="1">
      <c r="A180" s="118"/>
      <c r="B180" s="118"/>
      <c r="C180" s="118"/>
      <c r="D180" s="118"/>
      <c r="E180" s="118"/>
      <c r="F180" s="250"/>
      <c r="G180" s="250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</row>
    <row r="181" ht="15.75" customHeight="1">
      <c r="A181" s="118"/>
      <c r="B181" s="118"/>
      <c r="C181" s="118"/>
      <c r="D181" s="118"/>
      <c r="E181" s="118"/>
      <c r="F181" s="250"/>
      <c r="G181" s="250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</row>
    <row r="182" ht="15.75" customHeight="1">
      <c r="A182" s="118"/>
      <c r="B182" s="118"/>
      <c r="C182" s="118"/>
      <c r="D182" s="118"/>
      <c r="E182" s="118"/>
      <c r="F182" s="250"/>
      <c r="G182" s="250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</row>
    <row r="183" ht="15.75" customHeight="1">
      <c r="A183" s="118"/>
      <c r="B183" s="118"/>
      <c r="C183" s="118"/>
      <c r="D183" s="118"/>
      <c r="E183" s="118"/>
      <c r="F183" s="250"/>
      <c r="G183" s="250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</row>
    <row r="184" ht="15.75" customHeight="1">
      <c r="A184" s="118"/>
      <c r="B184" s="118"/>
      <c r="C184" s="118"/>
      <c r="D184" s="118"/>
      <c r="E184" s="118"/>
      <c r="F184" s="250"/>
      <c r="G184" s="250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</row>
    <row r="185" ht="15.75" customHeight="1">
      <c r="A185" s="118"/>
      <c r="B185" s="118"/>
      <c r="C185" s="118"/>
      <c r="D185" s="118"/>
      <c r="E185" s="118"/>
      <c r="F185" s="250"/>
      <c r="G185" s="250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</row>
    <row r="186" ht="15.75" customHeight="1">
      <c r="A186" s="118"/>
      <c r="B186" s="118"/>
      <c r="C186" s="118"/>
      <c r="D186" s="118"/>
      <c r="E186" s="118"/>
      <c r="F186" s="250"/>
      <c r="G186" s="250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</row>
    <row r="187" ht="15.75" customHeight="1">
      <c r="A187" s="118"/>
      <c r="B187" s="118"/>
      <c r="C187" s="118"/>
      <c r="D187" s="118"/>
      <c r="E187" s="118"/>
      <c r="F187" s="250"/>
      <c r="G187" s="250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</row>
    <row r="188" ht="15.75" customHeight="1">
      <c r="A188" s="118"/>
      <c r="B188" s="118"/>
      <c r="C188" s="118"/>
      <c r="D188" s="118"/>
      <c r="E188" s="118"/>
      <c r="F188" s="250"/>
      <c r="G188" s="250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</row>
    <row r="189" ht="15.75" customHeight="1">
      <c r="A189" s="118"/>
      <c r="B189" s="118"/>
      <c r="C189" s="118"/>
      <c r="D189" s="118"/>
      <c r="E189" s="118"/>
      <c r="F189" s="250"/>
      <c r="G189" s="250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</row>
    <row r="190" ht="15.75" customHeight="1">
      <c r="A190" s="118"/>
      <c r="B190" s="118"/>
      <c r="C190" s="118"/>
      <c r="D190" s="118"/>
      <c r="E190" s="118"/>
      <c r="F190" s="250"/>
      <c r="G190" s="250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</row>
    <row r="191" ht="15.75" customHeight="1">
      <c r="A191" s="118"/>
      <c r="B191" s="118"/>
      <c r="C191" s="118"/>
      <c r="D191" s="118"/>
      <c r="E191" s="118"/>
      <c r="F191" s="250"/>
      <c r="G191" s="250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</row>
    <row r="192" ht="15.75" customHeight="1">
      <c r="A192" s="118"/>
      <c r="B192" s="118"/>
      <c r="C192" s="118"/>
      <c r="D192" s="118"/>
      <c r="E192" s="118"/>
      <c r="F192" s="250"/>
      <c r="G192" s="250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</row>
    <row r="193" ht="15.75" customHeight="1">
      <c r="A193" s="118"/>
      <c r="B193" s="118"/>
      <c r="C193" s="118"/>
      <c r="D193" s="118"/>
      <c r="E193" s="118"/>
      <c r="F193" s="250"/>
      <c r="G193" s="250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</row>
    <row r="194" ht="15.75" customHeight="1">
      <c r="A194" s="118"/>
      <c r="B194" s="118"/>
      <c r="C194" s="118"/>
      <c r="D194" s="118"/>
      <c r="E194" s="118"/>
      <c r="F194" s="250"/>
      <c r="G194" s="250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</row>
    <row r="195" ht="15.75" customHeight="1">
      <c r="A195" s="118"/>
      <c r="B195" s="118"/>
      <c r="C195" s="118"/>
      <c r="D195" s="118"/>
      <c r="E195" s="118"/>
      <c r="F195" s="250"/>
      <c r="G195" s="250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</row>
    <row r="196" ht="15.75" customHeight="1">
      <c r="A196" s="118"/>
      <c r="B196" s="118"/>
      <c r="C196" s="118"/>
      <c r="D196" s="118"/>
      <c r="E196" s="118"/>
      <c r="F196" s="250"/>
      <c r="G196" s="250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</row>
    <row r="197" ht="15.75" customHeight="1">
      <c r="A197" s="118"/>
      <c r="B197" s="118"/>
      <c r="C197" s="118"/>
      <c r="D197" s="118"/>
      <c r="E197" s="118"/>
      <c r="F197" s="250"/>
      <c r="G197" s="250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</row>
    <row r="198" ht="15.75" customHeight="1">
      <c r="A198" s="118"/>
      <c r="B198" s="118"/>
      <c r="C198" s="118"/>
      <c r="D198" s="118"/>
      <c r="E198" s="118"/>
      <c r="F198" s="250"/>
      <c r="G198" s="250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</row>
    <row r="199" ht="15.75" customHeight="1">
      <c r="A199" s="118"/>
      <c r="B199" s="118"/>
      <c r="C199" s="118"/>
      <c r="D199" s="118"/>
      <c r="E199" s="118"/>
      <c r="F199" s="250"/>
      <c r="G199" s="250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</row>
    <row r="200" ht="15.75" customHeight="1">
      <c r="A200" s="118"/>
      <c r="B200" s="118"/>
      <c r="C200" s="118"/>
      <c r="D200" s="118"/>
      <c r="E200" s="118"/>
      <c r="F200" s="250"/>
      <c r="G200" s="250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</row>
    <row r="201" ht="15.75" customHeight="1">
      <c r="A201" s="118"/>
      <c r="B201" s="118"/>
      <c r="C201" s="118"/>
      <c r="D201" s="118"/>
      <c r="E201" s="118"/>
      <c r="F201" s="250"/>
      <c r="G201" s="250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</row>
    <row r="202" ht="15.75" customHeight="1">
      <c r="A202" s="118"/>
      <c r="B202" s="118"/>
      <c r="C202" s="118"/>
      <c r="D202" s="118"/>
      <c r="E202" s="118"/>
      <c r="F202" s="250"/>
      <c r="G202" s="250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</row>
    <row r="203" ht="15.75" customHeight="1">
      <c r="A203" s="118"/>
      <c r="B203" s="118"/>
      <c r="C203" s="118"/>
      <c r="D203" s="118"/>
      <c r="E203" s="118"/>
      <c r="F203" s="250"/>
      <c r="G203" s="250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</row>
    <row r="204" ht="15.75" customHeight="1">
      <c r="A204" s="118"/>
      <c r="B204" s="118"/>
      <c r="C204" s="118"/>
      <c r="D204" s="118"/>
      <c r="E204" s="118"/>
      <c r="F204" s="250"/>
      <c r="G204" s="250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</row>
    <row r="205" ht="15.75" customHeight="1">
      <c r="A205" s="118"/>
      <c r="B205" s="118"/>
      <c r="C205" s="118"/>
      <c r="D205" s="118"/>
      <c r="E205" s="118"/>
      <c r="F205" s="250"/>
      <c r="G205" s="250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</row>
    <row r="206" ht="15.75" customHeight="1">
      <c r="A206" s="118"/>
      <c r="B206" s="118"/>
      <c r="C206" s="118"/>
      <c r="D206" s="118"/>
      <c r="E206" s="118"/>
      <c r="F206" s="250"/>
      <c r="G206" s="250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</row>
    <row r="207" ht="15.75" customHeight="1">
      <c r="A207" s="118"/>
      <c r="B207" s="118"/>
      <c r="C207" s="118"/>
      <c r="D207" s="118"/>
      <c r="E207" s="118"/>
      <c r="F207" s="250"/>
      <c r="G207" s="250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</row>
    <row r="208" ht="15.75" customHeight="1">
      <c r="A208" s="118"/>
      <c r="B208" s="118"/>
      <c r="C208" s="118"/>
      <c r="D208" s="118"/>
      <c r="E208" s="118"/>
      <c r="F208" s="250"/>
      <c r="G208" s="250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</row>
    <row r="209" ht="15.75" customHeight="1">
      <c r="A209" s="118"/>
      <c r="B209" s="118"/>
      <c r="C209" s="118"/>
      <c r="D209" s="118"/>
      <c r="E209" s="118"/>
      <c r="F209" s="250"/>
      <c r="G209" s="250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</row>
    <row r="210" ht="15.75" customHeight="1">
      <c r="A210" s="118"/>
      <c r="B210" s="118"/>
      <c r="C210" s="118"/>
      <c r="D210" s="118"/>
      <c r="E210" s="118"/>
      <c r="F210" s="250"/>
      <c r="G210" s="250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</row>
    <row r="211" ht="15.75" customHeight="1">
      <c r="A211" s="118"/>
      <c r="B211" s="118"/>
      <c r="C211" s="118"/>
      <c r="D211" s="118"/>
      <c r="E211" s="118"/>
      <c r="F211" s="250"/>
      <c r="G211" s="250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</row>
    <row r="212" ht="15.75" customHeight="1">
      <c r="A212" s="118"/>
      <c r="B212" s="118"/>
      <c r="C212" s="118"/>
      <c r="D212" s="118"/>
      <c r="E212" s="118"/>
      <c r="F212" s="250"/>
      <c r="G212" s="250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</row>
    <row r="213" ht="15.75" customHeight="1">
      <c r="A213" s="118"/>
      <c r="B213" s="118"/>
      <c r="C213" s="118"/>
      <c r="D213" s="118"/>
      <c r="E213" s="118"/>
      <c r="F213" s="250"/>
      <c r="G213" s="250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</row>
    <row r="214" ht="15.75" customHeight="1">
      <c r="A214" s="118"/>
      <c r="B214" s="118"/>
      <c r="C214" s="118"/>
      <c r="D214" s="118"/>
      <c r="E214" s="118"/>
      <c r="F214" s="250"/>
      <c r="G214" s="250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</row>
    <row r="215" ht="15.75" customHeight="1">
      <c r="A215" s="118"/>
      <c r="B215" s="118"/>
      <c r="C215" s="118"/>
      <c r="D215" s="118"/>
      <c r="E215" s="118"/>
      <c r="F215" s="250"/>
      <c r="G215" s="250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</row>
    <row r="216" ht="15.75" customHeight="1">
      <c r="A216" s="118"/>
      <c r="B216" s="118"/>
      <c r="C216" s="118"/>
      <c r="D216" s="118"/>
      <c r="E216" s="118"/>
      <c r="F216" s="250"/>
      <c r="G216" s="250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</row>
    <row r="217" ht="15.75" customHeight="1">
      <c r="A217" s="118"/>
      <c r="B217" s="118"/>
      <c r="C217" s="118"/>
      <c r="D217" s="118"/>
      <c r="E217" s="118"/>
      <c r="F217" s="250"/>
      <c r="G217" s="250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</row>
    <row r="218" ht="15.75" customHeight="1">
      <c r="A218" s="118"/>
      <c r="B218" s="118"/>
      <c r="C218" s="118"/>
      <c r="D218" s="118"/>
      <c r="E218" s="118"/>
      <c r="F218" s="250"/>
      <c r="G218" s="250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</row>
    <row r="219" ht="15.75" customHeight="1">
      <c r="A219" s="118"/>
      <c r="B219" s="118"/>
      <c r="C219" s="118"/>
      <c r="D219" s="118"/>
      <c r="E219" s="118"/>
      <c r="F219" s="250"/>
      <c r="G219" s="250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</row>
    <row r="220" ht="15.75" customHeight="1">
      <c r="A220" s="118"/>
      <c r="B220" s="118"/>
      <c r="C220" s="118"/>
      <c r="D220" s="118"/>
      <c r="E220" s="118"/>
      <c r="F220" s="250"/>
      <c r="G220" s="250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</row>
    <row r="221" ht="15.75" customHeight="1">
      <c r="A221" s="118"/>
      <c r="B221" s="118"/>
      <c r="C221" s="118"/>
      <c r="D221" s="118"/>
      <c r="E221" s="118"/>
      <c r="F221" s="250"/>
      <c r="G221" s="250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</row>
    <row r="222" ht="15.75" customHeight="1">
      <c r="A222" s="118"/>
      <c r="B222" s="118"/>
      <c r="C222" s="118"/>
      <c r="D222" s="118"/>
      <c r="E222" s="118"/>
      <c r="F222" s="250"/>
      <c r="G222" s="250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</row>
    <row r="223" ht="15.75" customHeight="1">
      <c r="A223" s="118"/>
      <c r="B223" s="118"/>
      <c r="C223" s="118"/>
      <c r="D223" s="118"/>
      <c r="E223" s="118"/>
      <c r="F223" s="250"/>
      <c r="G223" s="250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</row>
    <row r="224" ht="15.75" customHeight="1">
      <c r="A224" s="118"/>
      <c r="B224" s="118"/>
      <c r="C224" s="118"/>
      <c r="D224" s="118"/>
      <c r="E224" s="118"/>
      <c r="F224" s="250"/>
      <c r="G224" s="250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</row>
    <row r="225" ht="15.75" customHeight="1">
      <c r="A225" s="118"/>
      <c r="B225" s="118"/>
      <c r="C225" s="118"/>
      <c r="D225" s="118"/>
      <c r="E225" s="118"/>
      <c r="F225" s="250"/>
      <c r="G225" s="250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</row>
    <row r="226" ht="15.75" customHeight="1">
      <c r="A226" s="118"/>
      <c r="B226" s="118"/>
      <c r="C226" s="118"/>
      <c r="D226" s="118"/>
      <c r="E226" s="118"/>
      <c r="F226" s="250"/>
      <c r="G226" s="250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</row>
    <row r="227" ht="15.75" customHeight="1">
      <c r="A227" s="118"/>
      <c r="B227" s="118"/>
      <c r="C227" s="118"/>
      <c r="D227" s="118"/>
      <c r="E227" s="118"/>
      <c r="F227" s="250"/>
      <c r="G227" s="250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</row>
    <row r="228" ht="15.75" customHeight="1">
      <c r="A228" s="118"/>
      <c r="B228" s="118"/>
      <c r="C228" s="118"/>
      <c r="D228" s="118"/>
      <c r="E228" s="118"/>
      <c r="F228" s="250"/>
      <c r="G228" s="250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</row>
    <row r="229" ht="15.75" customHeight="1">
      <c r="A229" s="118"/>
      <c r="B229" s="118"/>
      <c r="C229" s="118"/>
      <c r="D229" s="118"/>
      <c r="E229" s="118"/>
      <c r="F229" s="250"/>
      <c r="G229" s="250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</row>
    <row r="230" ht="15.75" customHeight="1">
      <c r="A230" s="118"/>
      <c r="B230" s="118"/>
      <c r="C230" s="118"/>
      <c r="D230" s="118"/>
      <c r="E230" s="118"/>
      <c r="F230" s="250"/>
      <c r="G230" s="250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</row>
    <row r="231" ht="15.75" customHeight="1">
      <c r="A231" s="118"/>
      <c r="B231" s="118"/>
      <c r="C231" s="118"/>
      <c r="D231" s="118"/>
      <c r="E231" s="118"/>
      <c r="F231" s="250"/>
      <c r="G231" s="250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</row>
    <row r="232" ht="15.75" customHeight="1">
      <c r="A232" s="118"/>
      <c r="B232" s="118"/>
      <c r="C232" s="118"/>
      <c r="D232" s="118"/>
      <c r="E232" s="118"/>
      <c r="F232" s="250"/>
      <c r="G232" s="250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</row>
    <row r="233" ht="15.75" customHeight="1">
      <c r="A233" s="118"/>
      <c r="B233" s="118"/>
      <c r="C233" s="118"/>
      <c r="D233" s="118"/>
      <c r="E233" s="118"/>
      <c r="F233" s="250"/>
      <c r="G233" s="250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</row>
    <row r="234" ht="15.75" customHeight="1">
      <c r="A234" s="118"/>
      <c r="B234" s="118"/>
      <c r="C234" s="118"/>
      <c r="D234" s="118"/>
      <c r="E234" s="118"/>
      <c r="F234" s="250"/>
      <c r="G234" s="250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</row>
    <row r="235" ht="15.75" customHeight="1">
      <c r="A235" s="118"/>
      <c r="B235" s="118"/>
      <c r="C235" s="118"/>
      <c r="D235" s="118"/>
      <c r="E235" s="118"/>
      <c r="F235" s="250"/>
      <c r="G235" s="250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</row>
    <row r="236" ht="15.75" customHeight="1">
      <c r="A236" s="118"/>
      <c r="B236" s="118"/>
      <c r="C236" s="118"/>
      <c r="D236" s="118"/>
      <c r="E236" s="118"/>
      <c r="F236" s="250"/>
      <c r="G236" s="250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</row>
    <row r="237" ht="15.75" customHeight="1">
      <c r="A237" s="118"/>
      <c r="B237" s="118"/>
      <c r="C237" s="118"/>
      <c r="D237" s="118"/>
      <c r="E237" s="118"/>
      <c r="F237" s="250"/>
      <c r="G237" s="250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</row>
    <row r="238" ht="15.75" customHeight="1">
      <c r="A238" s="118"/>
      <c r="B238" s="118"/>
      <c r="C238" s="118"/>
      <c r="D238" s="118"/>
      <c r="E238" s="118"/>
      <c r="F238" s="250"/>
      <c r="G238" s="250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</row>
    <row r="239" ht="15.75" customHeight="1">
      <c r="A239" s="118"/>
      <c r="B239" s="118"/>
      <c r="C239" s="118"/>
      <c r="D239" s="118"/>
      <c r="E239" s="118"/>
      <c r="F239" s="250"/>
      <c r="G239" s="250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</row>
    <row r="240" ht="15.75" customHeight="1">
      <c r="A240" s="118"/>
      <c r="B240" s="118"/>
      <c r="C240" s="118"/>
      <c r="D240" s="118"/>
      <c r="E240" s="118"/>
      <c r="F240" s="250"/>
      <c r="G240" s="250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</row>
    <row r="241" ht="15.75" customHeight="1">
      <c r="A241" s="118"/>
      <c r="B241" s="118"/>
      <c r="C241" s="118"/>
      <c r="D241" s="118"/>
      <c r="E241" s="118"/>
      <c r="F241" s="250"/>
      <c r="G241" s="250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</row>
    <row r="242" ht="15.75" customHeight="1">
      <c r="A242" s="118"/>
      <c r="B242" s="118"/>
      <c r="C242" s="118"/>
      <c r="D242" s="118"/>
      <c r="E242" s="118"/>
      <c r="F242" s="250"/>
      <c r="G242" s="250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</row>
    <row r="243" ht="15.75" customHeight="1">
      <c r="A243" s="118"/>
      <c r="B243" s="118"/>
      <c r="C243" s="118"/>
      <c r="D243" s="118"/>
      <c r="E243" s="118"/>
      <c r="F243" s="250"/>
      <c r="G243" s="250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</row>
    <row r="244" ht="15.75" customHeight="1">
      <c r="A244" s="118"/>
      <c r="B244" s="118"/>
      <c r="C244" s="118"/>
      <c r="D244" s="118"/>
      <c r="E244" s="118"/>
      <c r="F244" s="250"/>
      <c r="G244" s="250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</row>
    <row r="245" ht="15.75" customHeight="1">
      <c r="A245" s="118"/>
      <c r="B245" s="118"/>
      <c r="C245" s="118"/>
      <c r="D245" s="118"/>
      <c r="E245" s="118"/>
      <c r="F245" s="250"/>
      <c r="G245" s="250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</row>
    <row r="246" ht="15.75" customHeight="1">
      <c r="A246" s="118"/>
      <c r="B246" s="118"/>
      <c r="C246" s="118"/>
      <c r="D246" s="118"/>
      <c r="E246" s="118"/>
      <c r="F246" s="250"/>
      <c r="G246" s="250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</row>
    <row r="247" ht="15.75" customHeight="1">
      <c r="A247" s="118"/>
      <c r="B247" s="118"/>
      <c r="C247" s="118"/>
      <c r="D247" s="118"/>
      <c r="E247" s="118"/>
      <c r="F247" s="250"/>
      <c r="G247" s="250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</row>
    <row r="248" ht="15.75" customHeight="1">
      <c r="A248" s="118"/>
      <c r="B248" s="118"/>
      <c r="C248" s="118"/>
      <c r="D248" s="118"/>
      <c r="E248" s="118"/>
      <c r="F248" s="250"/>
      <c r="G248" s="250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</row>
    <row r="249" ht="15.75" customHeight="1">
      <c r="A249" s="118"/>
      <c r="B249" s="118"/>
      <c r="C249" s="118"/>
      <c r="D249" s="118"/>
      <c r="E249" s="118"/>
      <c r="F249" s="250"/>
      <c r="G249" s="250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</row>
    <row r="250" ht="15.75" customHeight="1">
      <c r="A250" s="118"/>
      <c r="B250" s="118"/>
      <c r="C250" s="118"/>
      <c r="D250" s="118"/>
      <c r="E250" s="118"/>
      <c r="F250" s="250"/>
      <c r="G250" s="250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</row>
    <row r="251" ht="15.75" customHeight="1">
      <c r="A251" s="118"/>
      <c r="B251" s="118"/>
      <c r="C251" s="118"/>
      <c r="D251" s="118"/>
      <c r="E251" s="118"/>
      <c r="F251" s="250"/>
      <c r="G251" s="250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</row>
    <row r="252" ht="15.75" customHeight="1">
      <c r="A252" s="118"/>
      <c r="B252" s="118"/>
      <c r="C252" s="118"/>
      <c r="D252" s="118"/>
      <c r="E252" s="118"/>
      <c r="F252" s="250"/>
      <c r="G252" s="250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</row>
    <row r="253" ht="15.75" customHeight="1">
      <c r="A253" s="118"/>
      <c r="B253" s="118"/>
      <c r="C253" s="118"/>
      <c r="D253" s="118"/>
      <c r="E253" s="118"/>
      <c r="F253" s="250"/>
      <c r="G253" s="250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</row>
    <row r="254" ht="15.75" customHeight="1">
      <c r="A254" s="118"/>
      <c r="B254" s="118"/>
      <c r="C254" s="118"/>
      <c r="D254" s="118"/>
      <c r="E254" s="118"/>
      <c r="F254" s="250"/>
      <c r="G254" s="250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</row>
    <row r="255" ht="15.75" customHeight="1">
      <c r="A255" s="118"/>
      <c r="B255" s="118"/>
      <c r="C255" s="118"/>
      <c r="D255" s="118"/>
      <c r="E255" s="118"/>
      <c r="F255" s="250"/>
      <c r="G255" s="250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</row>
    <row r="256" ht="15.75" customHeight="1">
      <c r="A256" s="118"/>
      <c r="B256" s="118"/>
      <c r="C256" s="118"/>
      <c r="D256" s="118"/>
      <c r="E256" s="118"/>
      <c r="F256" s="250"/>
      <c r="G256" s="250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</row>
    <row r="257" ht="15.75" customHeight="1">
      <c r="A257" s="118"/>
      <c r="B257" s="118"/>
      <c r="C257" s="118"/>
      <c r="D257" s="118"/>
      <c r="E257" s="118"/>
      <c r="F257" s="250"/>
      <c r="G257" s="250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</row>
    <row r="258" ht="15.75" customHeight="1">
      <c r="A258" s="118"/>
      <c r="B258" s="118"/>
      <c r="C258" s="118"/>
      <c r="D258" s="118"/>
      <c r="E258" s="118"/>
      <c r="F258" s="250"/>
      <c r="G258" s="250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</row>
    <row r="259" ht="15.75" customHeight="1">
      <c r="A259" s="118"/>
      <c r="B259" s="118"/>
      <c r="C259" s="118"/>
      <c r="D259" s="118"/>
      <c r="E259" s="118"/>
      <c r="F259" s="250"/>
      <c r="G259" s="250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</row>
    <row r="260" ht="15.75" customHeight="1">
      <c r="A260" s="118"/>
      <c r="B260" s="118"/>
      <c r="C260" s="118"/>
      <c r="D260" s="118"/>
      <c r="E260" s="118"/>
      <c r="F260" s="250"/>
      <c r="G260" s="250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</row>
    <row r="261" ht="15.75" customHeight="1">
      <c r="A261" s="118"/>
      <c r="B261" s="118"/>
      <c r="C261" s="118"/>
      <c r="D261" s="118"/>
      <c r="E261" s="118"/>
      <c r="F261" s="250"/>
      <c r="G261" s="250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</row>
    <row r="262" ht="15.75" customHeight="1">
      <c r="A262" s="118"/>
      <c r="B262" s="118"/>
      <c r="C262" s="118"/>
      <c r="D262" s="118"/>
      <c r="E262" s="118"/>
      <c r="F262" s="250"/>
      <c r="G262" s="250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</row>
    <row r="263" ht="15.75" customHeight="1">
      <c r="A263" s="118"/>
      <c r="B263" s="118"/>
      <c r="C263" s="118"/>
      <c r="D263" s="118"/>
      <c r="E263" s="118"/>
      <c r="F263" s="250"/>
      <c r="G263" s="250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</row>
    <row r="264" ht="15.75" customHeight="1">
      <c r="A264" s="118"/>
      <c r="B264" s="118"/>
      <c r="C264" s="118"/>
      <c r="D264" s="118"/>
      <c r="E264" s="118"/>
      <c r="F264" s="250"/>
      <c r="G264" s="250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</row>
    <row r="265" ht="15.75" customHeight="1">
      <c r="A265" s="118"/>
      <c r="B265" s="118"/>
      <c r="C265" s="118"/>
      <c r="D265" s="118"/>
      <c r="E265" s="118"/>
      <c r="F265" s="250"/>
      <c r="G265" s="250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</row>
    <row r="266" ht="15.75" customHeight="1">
      <c r="A266" s="118"/>
      <c r="B266" s="118"/>
      <c r="C266" s="118"/>
      <c r="D266" s="118"/>
      <c r="E266" s="118"/>
      <c r="F266" s="250"/>
      <c r="G266" s="250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</row>
    <row r="267" ht="15.75" customHeight="1">
      <c r="A267" s="118"/>
      <c r="B267" s="118"/>
      <c r="C267" s="118"/>
      <c r="D267" s="118"/>
      <c r="E267" s="118"/>
      <c r="F267" s="250"/>
      <c r="G267" s="250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</row>
    <row r="268" ht="15.75" customHeight="1">
      <c r="A268" s="118"/>
      <c r="B268" s="118"/>
      <c r="C268" s="118"/>
      <c r="D268" s="118"/>
      <c r="E268" s="118"/>
      <c r="F268" s="250"/>
      <c r="G268" s="250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</row>
    <row r="269" ht="15.75" customHeight="1">
      <c r="A269" s="118"/>
      <c r="B269" s="118"/>
      <c r="C269" s="118"/>
      <c r="D269" s="118"/>
      <c r="E269" s="118"/>
      <c r="F269" s="250"/>
      <c r="G269" s="250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</row>
    <row r="270" ht="15.75" customHeight="1">
      <c r="A270" s="118"/>
      <c r="B270" s="118"/>
      <c r="C270" s="118"/>
      <c r="D270" s="118"/>
      <c r="E270" s="118"/>
      <c r="F270" s="250"/>
      <c r="G270" s="250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</row>
    <row r="271" ht="15.75" customHeight="1">
      <c r="A271" s="118"/>
      <c r="B271" s="118"/>
      <c r="C271" s="118"/>
      <c r="D271" s="118"/>
      <c r="E271" s="118"/>
      <c r="F271" s="250"/>
      <c r="G271" s="250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</row>
    <row r="272" ht="15.75" customHeight="1">
      <c r="A272" s="118"/>
      <c r="B272" s="118"/>
      <c r="C272" s="118"/>
      <c r="D272" s="118"/>
      <c r="E272" s="118"/>
      <c r="F272" s="250"/>
      <c r="G272" s="250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</row>
    <row r="273" ht="15.75" customHeight="1">
      <c r="A273" s="118"/>
      <c r="B273" s="118"/>
      <c r="C273" s="118"/>
      <c r="D273" s="118"/>
      <c r="E273" s="118"/>
      <c r="F273" s="250"/>
      <c r="G273" s="250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</row>
    <row r="274" ht="15.75" customHeight="1">
      <c r="A274" s="118"/>
      <c r="B274" s="118"/>
      <c r="C274" s="118"/>
      <c r="D274" s="118"/>
      <c r="E274" s="118"/>
      <c r="F274" s="250"/>
      <c r="G274" s="250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</row>
    <row r="275" ht="15.75" customHeight="1">
      <c r="A275" s="118"/>
      <c r="B275" s="118"/>
      <c r="C275" s="118"/>
      <c r="D275" s="118"/>
      <c r="E275" s="118"/>
      <c r="F275" s="250"/>
      <c r="G275" s="250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</row>
    <row r="276" ht="15.75" customHeight="1">
      <c r="A276" s="118"/>
      <c r="B276" s="118"/>
      <c r="C276" s="118"/>
      <c r="D276" s="118"/>
      <c r="E276" s="118"/>
      <c r="F276" s="250"/>
      <c r="G276" s="250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</row>
    <row r="277" ht="15.75" customHeight="1">
      <c r="A277" s="118"/>
      <c r="B277" s="118"/>
      <c r="C277" s="118"/>
      <c r="D277" s="118"/>
      <c r="E277" s="118"/>
      <c r="F277" s="250"/>
      <c r="G277" s="250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</row>
    <row r="278" ht="15.75" customHeight="1">
      <c r="A278" s="118"/>
      <c r="B278" s="118"/>
      <c r="C278" s="118"/>
      <c r="D278" s="118"/>
      <c r="E278" s="118"/>
      <c r="F278" s="250"/>
      <c r="G278" s="250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</row>
    <row r="279" ht="15.75" customHeight="1">
      <c r="A279" s="118"/>
      <c r="B279" s="118"/>
      <c r="C279" s="118"/>
      <c r="D279" s="118"/>
      <c r="E279" s="118"/>
      <c r="F279" s="250"/>
      <c r="G279" s="250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</row>
    <row r="280" ht="15.75" customHeight="1">
      <c r="A280" s="118"/>
      <c r="B280" s="118"/>
      <c r="C280" s="118"/>
      <c r="D280" s="118"/>
      <c r="E280" s="118"/>
      <c r="F280" s="250"/>
      <c r="G280" s="250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</row>
    <row r="281" ht="15.75" customHeight="1">
      <c r="A281" s="118"/>
      <c r="B281" s="118"/>
      <c r="C281" s="118"/>
      <c r="D281" s="118"/>
      <c r="E281" s="118"/>
      <c r="F281" s="250"/>
      <c r="G281" s="250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</row>
    <row r="282" ht="15.75" customHeight="1">
      <c r="A282" s="118"/>
      <c r="B282" s="118"/>
      <c r="C282" s="118"/>
      <c r="D282" s="118"/>
      <c r="E282" s="118"/>
      <c r="F282" s="250"/>
      <c r="G282" s="250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</row>
    <row r="283" ht="15.75" customHeight="1">
      <c r="A283" s="118"/>
      <c r="B283" s="118"/>
      <c r="C283" s="118"/>
      <c r="D283" s="118"/>
      <c r="E283" s="118"/>
      <c r="F283" s="250"/>
      <c r="G283" s="250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</row>
    <row r="284" ht="15.75" customHeight="1">
      <c r="A284" s="118"/>
      <c r="B284" s="118"/>
      <c r="C284" s="118"/>
      <c r="D284" s="118"/>
      <c r="E284" s="118"/>
      <c r="F284" s="250"/>
      <c r="G284" s="250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</row>
    <row r="285" ht="15.75" customHeight="1">
      <c r="A285" s="118"/>
      <c r="B285" s="118"/>
      <c r="C285" s="118"/>
      <c r="D285" s="118"/>
      <c r="E285" s="118"/>
      <c r="F285" s="250"/>
      <c r="G285" s="250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</row>
    <row r="286" ht="15.75" customHeight="1">
      <c r="A286" s="118"/>
      <c r="B286" s="118"/>
      <c r="C286" s="118"/>
      <c r="D286" s="118"/>
      <c r="E286" s="118"/>
      <c r="F286" s="250"/>
      <c r="G286" s="250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</row>
    <row r="287" ht="15.75" customHeight="1">
      <c r="A287" s="118"/>
      <c r="B287" s="118"/>
      <c r="C287" s="118"/>
      <c r="D287" s="118"/>
      <c r="E287" s="118"/>
      <c r="F287" s="250"/>
      <c r="G287" s="250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</row>
    <row r="288" ht="15.75" customHeight="1">
      <c r="A288" s="118"/>
      <c r="B288" s="118"/>
      <c r="C288" s="118"/>
      <c r="D288" s="118"/>
      <c r="E288" s="118"/>
      <c r="F288" s="250"/>
      <c r="G288" s="250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</row>
    <row r="289" ht="15.75" customHeight="1">
      <c r="A289" s="118"/>
      <c r="B289" s="118"/>
      <c r="C289" s="118"/>
      <c r="D289" s="118"/>
      <c r="E289" s="118"/>
      <c r="F289" s="250"/>
      <c r="G289" s="250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</row>
    <row r="290" ht="15.75" customHeight="1">
      <c r="A290" s="118"/>
      <c r="B290" s="118"/>
      <c r="C290" s="118"/>
      <c r="D290" s="118"/>
      <c r="E290" s="118"/>
      <c r="F290" s="250"/>
      <c r="G290" s="250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</row>
    <row r="291" ht="15.75" customHeight="1">
      <c r="A291" s="118"/>
      <c r="B291" s="118"/>
      <c r="C291" s="118"/>
      <c r="D291" s="118"/>
      <c r="E291" s="118"/>
      <c r="F291" s="250"/>
      <c r="G291" s="250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</row>
    <row r="292" ht="15.75" customHeight="1">
      <c r="A292" s="118"/>
      <c r="B292" s="118"/>
      <c r="C292" s="118"/>
      <c r="D292" s="118"/>
      <c r="E292" s="118"/>
      <c r="F292" s="250"/>
      <c r="G292" s="250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</row>
    <row r="293" ht="15.75" customHeight="1">
      <c r="A293" s="118"/>
      <c r="B293" s="118"/>
      <c r="C293" s="118"/>
      <c r="D293" s="118"/>
      <c r="E293" s="118"/>
      <c r="F293" s="250"/>
      <c r="G293" s="250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</row>
    <row r="294" ht="15.75" customHeight="1">
      <c r="A294" s="118"/>
      <c r="B294" s="118"/>
      <c r="C294" s="118"/>
      <c r="D294" s="118"/>
      <c r="E294" s="118"/>
      <c r="F294" s="250"/>
      <c r="G294" s="250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</row>
    <row r="295" ht="15.75" customHeight="1">
      <c r="A295" s="118"/>
      <c r="B295" s="118"/>
      <c r="C295" s="118"/>
      <c r="D295" s="118"/>
      <c r="E295" s="118"/>
      <c r="F295" s="250"/>
      <c r="G295" s="250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</row>
    <row r="296" ht="15.75" customHeight="1">
      <c r="A296" s="118"/>
      <c r="B296" s="118"/>
      <c r="C296" s="118"/>
      <c r="D296" s="118"/>
      <c r="E296" s="118"/>
      <c r="F296" s="250"/>
      <c r="G296" s="250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</row>
    <row r="297" ht="15.75" customHeight="1">
      <c r="A297" s="118"/>
      <c r="B297" s="118"/>
      <c r="C297" s="118"/>
      <c r="D297" s="118"/>
      <c r="E297" s="118"/>
      <c r="F297" s="250"/>
      <c r="G297" s="250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</row>
    <row r="298" ht="15.75" customHeight="1">
      <c r="A298" s="118"/>
      <c r="B298" s="118"/>
      <c r="C298" s="118"/>
      <c r="D298" s="118"/>
      <c r="E298" s="118"/>
      <c r="F298" s="250"/>
      <c r="G298" s="250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</row>
    <row r="299" ht="15.75" customHeight="1">
      <c r="A299" s="118"/>
      <c r="B299" s="118"/>
      <c r="C299" s="118"/>
      <c r="D299" s="118"/>
      <c r="E299" s="118"/>
      <c r="F299" s="250"/>
      <c r="G299" s="250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</row>
    <row r="300" ht="15.75" customHeight="1">
      <c r="A300" s="118"/>
      <c r="B300" s="118"/>
      <c r="C300" s="118"/>
      <c r="D300" s="118"/>
      <c r="E300" s="118"/>
      <c r="F300" s="250"/>
      <c r="G300" s="250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</row>
    <row r="301" ht="15.75" customHeight="1">
      <c r="A301" s="118"/>
      <c r="B301" s="118"/>
      <c r="C301" s="118"/>
      <c r="D301" s="118"/>
      <c r="E301" s="118"/>
      <c r="F301" s="250"/>
      <c r="G301" s="250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</row>
    <row r="302" ht="15.75" customHeight="1">
      <c r="A302" s="118"/>
      <c r="B302" s="118"/>
      <c r="C302" s="118"/>
      <c r="D302" s="118"/>
      <c r="E302" s="118"/>
      <c r="F302" s="250"/>
      <c r="G302" s="250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</row>
    <row r="303" ht="15.75" customHeight="1">
      <c r="A303" s="118"/>
      <c r="B303" s="118"/>
      <c r="C303" s="118"/>
      <c r="D303" s="118"/>
      <c r="E303" s="118"/>
      <c r="F303" s="250"/>
      <c r="G303" s="250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</row>
    <row r="304" ht="15.75" customHeight="1">
      <c r="A304" s="118"/>
      <c r="B304" s="118"/>
      <c r="C304" s="118"/>
      <c r="D304" s="118"/>
      <c r="E304" s="118"/>
      <c r="F304" s="250"/>
      <c r="G304" s="250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</row>
    <row r="305" ht="15.75" customHeight="1">
      <c r="A305" s="118"/>
      <c r="B305" s="118"/>
      <c r="C305" s="118"/>
      <c r="D305" s="118"/>
      <c r="E305" s="118"/>
      <c r="F305" s="250"/>
      <c r="G305" s="250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</row>
    <row r="306" ht="15.75" customHeight="1">
      <c r="A306" s="118"/>
      <c r="B306" s="118"/>
      <c r="C306" s="118"/>
      <c r="D306" s="118"/>
      <c r="E306" s="118"/>
      <c r="F306" s="250"/>
      <c r="G306" s="250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</row>
    <row r="307" ht="15.75" customHeight="1">
      <c r="A307" s="118"/>
      <c r="B307" s="118"/>
      <c r="C307" s="118"/>
      <c r="D307" s="118"/>
      <c r="E307" s="118"/>
      <c r="F307" s="250"/>
      <c r="G307" s="250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</row>
    <row r="308" ht="15.75" customHeight="1">
      <c r="A308" s="118"/>
      <c r="B308" s="118"/>
      <c r="C308" s="118"/>
      <c r="D308" s="118"/>
      <c r="E308" s="118"/>
      <c r="F308" s="250"/>
      <c r="G308" s="250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</row>
    <row r="309" ht="15.75" customHeight="1">
      <c r="A309" s="118"/>
      <c r="B309" s="118"/>
      <c r="C309" s="118"/>
      <c r="D309" s="118"/>
      <c r="E309" s="118"/>
      <c r="F309" s="250"/>
      <c r="G309" s="250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</row>
    <row r="310" ht="15.75" customHeight="1">
      <c r="A310" s="118"/>
      <c r="B310" s="118"/>
      <c r="C310" s="118"/>
      <c r="D310" s="118"/>
      <c r="E310" s="118"/>
      <c r="F310" s="250"/>
      <c r="G310" s="250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</row>
    <row r="311" ht="15.75" customHeight="1">
      <c r="A311" s="118"/>
      <c r="B311" s="118"/>
      <c r="C311" s="118"/>
      <c r="D311" s="118"/>
      <c r="E311" s="118"/>
      <c r="F311" s="250"/>
      <c r="G311" s="250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</row>
    <row r="312" ht="15.75" customHeight="1">
      <c r="A312" s="118"/>
      <c r="B312" s="118"/>
      <c r="C312" s="118"/>
      <c r="D312" s="118"/>
      <c r="E312" s="118"/>
      <c r="F312" s="250"/>
      <c r="G312" s="250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</row>
    <row r="313" ht="15.75" customHeight="1">
      <c r="A313" s="118"/>
      <c r="B313" s="118"/>
      <c r="C313" s="118"/>
      <c r="D313" s="118"/>
      <c r="E313" s="118"/>
      <c r="F313" s="250"/>
      <c r="G313" s="250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</row>
    <row r="314" ht="15.75" customHeight="1">
      <c r="A314" s="118"/>
      <c r="B314" s="118"/>
      <c r="C314" s="118"/>
      <c r="D314" s="118"/>
      <c r="E314" s="118"/>
      <c r="F314" s="250"/>
      <c r="G314" s="250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</row>
    <row r="315" ht="15.75" customHeight="1">
      <c r="A315" s="118"/>
      <c r="B315" s="118"/>
      <c r="C315" s="118"/>
      <c r="D315" s="118"/>
      <c r="E315" s="118"/>
      <c r="F315" s="250"/>
      <c r="G315" s="250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</row>
    <row r="316" ht="15.75" customHeight="1">
      <c r="A316" s="118"/>
      <c r="B316" s="118"/>
      <c r="C316" s="118"/>
      <c r="D316" s="118"/>
      <c r="E316" s="118"/>
      <c r="F316" s="250"/>
      <c r="G316" s="250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</row>
    <row r="317" ht="15.75" customHeight="1">
      <c r="A317" s="118"/>
      <c r="B317" s="118"/>
      <c r="C317" s="118"/>
      <c r="D317" s="118"/>
      <c r="E317" s="118"/>
      <c r="F317" s="250"/>
      <c r="G317" s="250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</row>
    <row r="318" ht="15.75" customHeight="1">
      <c r="A318" s="118"/>
      <c r="B318" s="118"/>
      <c r="C318" s="118"/>
      <c r="D318" s="118"/>
      <c r="E318" s="118"/>
      <c r="F318" s="250"/>
      <c r="G318" s="250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</row>
    <row r="319" ht="15.75" customHeight="1">
      <c r="A319" s="118"/>
      <c r="B319" s="118"/>
      <c r="C319" s="118"/>
      <c r="D319" s="118"/>
      <c r="E319" s="118"/>
      <c r="F319" s="250"/>
      <c r="G319" s="250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</row>
    <row r="320" ht="15.75" customHeight="1">
      <c r="A320" s="118"/>
      <c r="B320" s="118"/>
      <c r="C320" s="118"/>
      <c r="D320" s="118"/>
      <c r="E320" s="118"/>
      <c r="F320" s="250"/>
      <c r="G320" s="250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</row>
    <row r="321" ht="15.75" customHeight="1">
      <c r="A321" s="118"/>
      <c r="B321" s="118"/>
      <c r="C321" s="118"/>
      <c r="D321" s="118"/>
      <c r="E321" s="118"/>
      <c r="F321" s="250"/>
      <c r="G321" s="250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</row>
    <row r="322" ht="15.75" customHeight="1">
      <c r="A322" s="118"/>
      <c r="B322" s="118"/>
      <c r="C322" s="118"/>
      <c r="D322" s="118"/>
      <c r="E322" s="118"/>
      <c r="F322" s="250"/>
      <c r="G322" s="250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</row>
    <row r="323" ht="15.75" customHeight="1">
      <c r="A323" s="118"/>
      <c r="B323" s="118"/>
      <c r="C323" s="118"/>
      <c r="D323" s="118"/>
      <c r="E323" s="118"/>
      <c r="F323" s="250"/>
      <c r="G323" s="250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</row>
    <row r="324" ht="15.75" customHeight="1">
      <c r="A324" s="118"/>
      <c r="B324" s="118"/>
      <c r="C324" s="118"/>
      <c r="D324" s="118"/>
      <c r="E324" s="118"/>
      <c r="F324" s="250"/>
      <c r="G324" s="250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</row>
    <row r="325" ht="15.75" customHeight="1">
      <c r="A325" s="118"/>
      <c r="B325" s="118"/>
      <c r="C325" s="118"/>
      <c r="D325" s="118"/>
      <c r="E325" s="118"/>
      <c r="F325" s="250"/>
      <c r="G325" s="250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</row>
    <row r="326" ht="15.75" customHeight="1">
      <c r="A326" s="118"/>
      <c r="B326" s="118"/>
      <c r="C326" s="118"/>
      <c r="D326" s="118"/>
      <c r="E326" s="118"/>
      <c r="F326" s="250"/>
      <c r="G326" s="250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</row>
    <row r="327" ht="15.75" customHeight="1">
      <c r="A327" s="118"/>
      <c r="B327" s="118"/>
      <c r="C327" s="118"/>
      <c r="D327" s="118"/>
      <c r="E327" s="118"/>
      <c r="F327" s="250"/>
      <c r="G327" s="250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</row>
    <row r="328" ht="15.75" customHeight="1">
      <c r="A328" s="118"/>
      <c r="B328" s="118"/>
      <c r="C328" s="118"/>
      <c r="D328" s="118"/>
      <c r="E328" s="118"/>
      <c r="F328" s="250"/>
      <c r="G328" s="250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</row>
    <row r="329" ht="15.75" customHeight="1">
      <c r="A329" s="118"/>
      <c r="B329" s="118"/>
      <c r="C329" s="118"/>
      <c r="D329" s="118"/>
      <c r="E329" s="118"/>
      <c r="F329" s="250"/>
      <c r="G329" s="250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</row>
    <row r="330" ht="15.75" customHeight="1">
      <c r="A330" s="118"/>
      <c r="B330" s="118"/>
      <c r="C330" s="118"/>
      <c r="D330" s="118"/>
      <c r="E330" s="118"/>
      <c r="F330" s="250"/>
      <c r="G330" s="250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</row>
    <row r="331" ht="15.75" customHeight="1">
      <c r="A331" s="118"/>
      <c r="B331" s="118"/>
      <c r="C331" s="118"/>
      <c r="D331" s="118"/>
      <c r="E331" s="118"/>
      <c r="F331" s="250"/>
      <c r="G331" s="250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</row>
    <row r="332" ht="15.75" customHeight="1">
      <c r="A332" s="118"/>
      <c r="B332" s="118"/>
      <c r="C332" s="118"/>
      <c r="D332" s="118"/>
      <c r="E332" s="118"/>
      <c r="F332" s="250"/>
      <c r="G332" s="250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</row>
    <row r="333" ht="15.75" customHeight="1">
      <c r="A333" s="118"/>
      <c r="B333" s="118"/>
      <c r="C333" s="118"/>
      <c r="D333" s="118"/>
      <c r="E333" s="118"/>
      <c r="F333" s="250"/>
      <c r="G333" s="250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</row>
    <row r="334" ht="15.75" customHeight="1">
      <c r="A334" s="118"/>
      <c r="B334" s="118"/>
      <c r="C334" s="118"/>
      <c r="D334" s="118"/>
      <c r="E334" s="118"/>
      <c r="F334" s="250"/>
      <c r="G334" s="250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</row>
    <row r="335" ht="15.75" customHeight="1">
      <c r="A335" s="118"/>
      <c r="B335" s="118"/>
      <c r="C335" s="118"/>
      <c r="D335" s="118"/>
      <c r="E335" s="118"/>
      <c r="F335" s="250"/>
      <c r="G335" s="250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</row>
    <row r="336" ht="15.75" customHeight="1">
      <c r="A336" s="118"/>
      <c r="B336" s="118"/>
      <c r="C336" s="118"/>
      <c r="D336" s="118"/>
      <c r="E336" s="118"/>
      <c r="F336" s="250"/>
      <c r="G336" s="250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</row>
    <row r="337" ht="15.75" customHeight="1">
      <c r="A337" s="118"/>
      <c r="B337" s="118"/>
      <c r="C337" s="118"/>
      <c r="D337" s="118"/>
      <c r="E337" s="118"/>
      <c r="F337" s="250"/>
      <c r="G337" s="250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</row>
    <row r="338" ht="15.75" customHeight="1">
      <c r="A338" s="118"/>
      <c r="B338" s="118"/>
      <c r="C338" s="118"/>
      <c r="D338" s="118"/>
      <c r="E338" s="118"/>
      <c r="F338" s="250"/>
      <c r="G338" s="250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</row>
    <row r="339" ht="15.75" customHeight="1">
      <c r="A339" s="118"/>
      <c r="B339" s="118"/>
      <c r="C339" s="118"/>
      <c r="D339" s="118"/>
      <c r="E339" s="118"/>
      <c r="F339" s="250"/>
      <c r="G339" s="250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</row>
    <row r="340" ht="15.75" customHeight="1">
      <c r="A340" s="118"/>
      <c r="B340" s="118"/>
      <c r="C340" s="118"/>
      <c r="D340" s="118"/>
      <c r="E340" s="118"/>
      <c r="F340" s="250"/>
      <c r="G340" s="250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</row>
    <row r="341" ht="15.75" customHeight="1">
      <c r="A341" s="118"/>
      <c r="B341" s="118"/>
      <c r="C341" s="118"/>
      <c r="D341" s="118"/>
      <c r="E341" s="118"/>
      <c r="F341" s="250"/>
      <c r="G341" s="250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</row>
    <row r="342" ht="15.75" customHeight="1">
      <c r="A342" s="118"/>
      <c r="B342" s="118"/>
      <c r="C342" s="118"/>
      <c r="D342" s="118"/>
      <c r="E342" s="118"/>
      <c r="F342" s="250"/>
      <c r="G342" s="250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</row>
    <row r="343" ht="15.75" customHeight="1">
      <c r="A343" s="118"/>
      <c r="B343" s="118"/>
      <c r="C343" s="118"/>
      <c r="D343" s="118"/>
      <c r="E343" s="118"/>
      <c r="F343" s="250"/>
      <c r="G343" s="250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</row>
    <row r="344" ht="15.75" customHeight="1">
      <c r="A344" s="118"/>
      <c r="B344" s="118"/>
      <c r="C344" s="118"/>
      <c r="D344" s="118"/>
      <c r="E344" s="118"/>
      <c r="F344" s="250"/>
      <c r="G344" s="250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</row>
    <row r="345" ht="15.75" customHeight="1">
      <c r="A345" s="118"/>
      <c r="B345" s="118"/>
      <c r="C345" s="118"/>
      <c r="D345" s="118"/>
      <c r="E345" s="118"/>
      <c r="F345" s="250"/>
      <c r="G345" s="250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</row>
    <row r="346" ht="15.75" customHeight="1">
      <c r="A346" s="118"/>
      <c r="B346" s="118"/>
      <c r="C346" s="118"/>
      <c r="D346" s="118"/>
      <c r="E346" s="118"/>
      <c r="F346" s="250"/>
      <c r="G346" s="250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</row>
    <row r="347" ht="15.75" customHeight="1">
      <c r="A347" s="118"/>
      <c r="B347" s="118"/>
      <c r="C347" s="118"/>
      <c r="D347" s="118"/>
      <c r="E347" s="118"/>
      <c r="F347" s="250"/>
      <c r="G347" s="250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</row>
    <row r="348" ht="15.75" customHeight="1">
      <c r="A348" s="118"/>
      <c r="B348" s="118"/>
      <c r="C348" s="118"/>
      <c r="D348" s="118"/>
      <c r="E348" s="118"/>
      <c r="F348" s="250"/>
      <c r="G348" s="250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</row>
    <row r="349" ht="15.75" customHeight="1">
      <c r="A349" s="118"/>
      <c r="B349" s="118"/>
      <c r="C349" s="118"/>
      <c r="D349" s="118"/>
      <c r="E349" s="118"/>
      <c r="F349" s="250"/>
      <c r="G349" s="250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</row>
    <row r="350" ht="15.75" customHeight="1">
      <c r="A350" s="118"/>
      <c r="B350" s="118"/>
      <c r="C350" s="118"/>
      <c r="D350" s="118"/>
      <c r="E350" s="118"/>
      <c r="F350" s="250"/>
      <c r="G350" s="250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</row>
    <row r="351" ht="15.75" customHeight="1">
      <c r="A351" s="118"/>
      <c r="B351" s="118"/>
      <c r="C351" s="118"/>
      <c r="D351" s="118"/>
      <c r="E351" s="118"/>
      <c r="F351" s="250"/>
      <c r="G351" s="250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</row>
    <row r="352" ht="15.75" customHeight="1">
      <c r="A352" s="118"/>
      <c r="B352" s="118"/>
      <c r="C352" s="118"/>
      <c r="D352" s="118"/>
      <c r="E352" s="118"/>
      <c r="F352" s="250"/>
      <c r="G352" s="250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</row>
    <row r="353" ht="15.75" customHeight="1">
      <c r="A353" s="118"/>
      <c r="B353" s="118"/>
      <c r="C353" s="118"/>
      <c r="D353" s="118"/>
      <c r="E353" s="118"/>
      <c r="F353" s="250"/>
      <c r="G353" s="250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</row>
    <row r="354" ht="15.75" customHeight="1">
      <c r="A354" s="118"/>
      <c r="B354" s="118"/>
      <c r="C354" s="118"/>
      <c r="D354" s="118"/>
      <c r="E354" s="118"/>
      <c r="F354" s="250"/>
      <c r="G354" s="250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</row>
    <row r="355" ht="15.75" customHeight="1">
      <c r="A355" s="118"/>
      <c r="B355" s="118"/>
      <c r="C355" s="118"/>
      <c r="D355" s="118"/>
      <c r="E355" s="118"/>
      <c r="F355" s="250"/>
      <c r="G355" s="250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</row>
    <row r="356" ht="15.75" customHeight="1">
      <c r="A356" s="118"/>
      <c r="B356" s="118"/>
      <c r="C356" s="118"/>
      <c r="D356" s="118"/>
      <c r="E356" s="118"/>
      <c r="F356" s="250"/>
      <c r="G356" s="250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</row>
    <row r="357" ht="15.75" customHeight="1">
      <c r="A357" s="118"/>
      <c r="B357" s="118"/>
      <c r="C357" s="118"/>
      <c r="D357" s="118"/>
      <c r="E357" s="118"/>
      <c r="F357" s="250"/>
      <c r="G357" s="250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</row>
    <row r="358" ht="15.75" customHeight="1">
      <c r="A358" s="118"/>
      <c r="B358" s="118"/>
      <c r="C358" s="118"/>
      <c r="D358" s="118"/>
      <c r="E358" s="118"/>
      <c r="F358" s="250"/>
      <c r="G358" s="250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</row>
    <row r="359" ht="15.75" customHeight="1">
      <c r="A359" s="118"/>
      <c r="B359" s="118"/>
      <c r="C359" s="118"/>
      <c r="D359" s="118"/>
      <c r="E359" s="118"/>
      <c r="F359" s="250"/>
      <c r="G359" s="250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</row>
    <row r="360" ht="15.75" customHeight="1">
      <c r="A360" s="118"/>
      <c r="B360" s="118"/>
      <c r="C360" s="118"/>
      <c r="D360" s="118"/>
      <c r="E360" s="118"/>
      <c r="F360" s="250"/>
      <c r="G360" s="250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</row>
    <row r="361" ht="15.75" customHeight="1">
      <c r="A361" s="118"/>
      <c r="B361" s="118"/>
      <c r="C361" s="118"/>
      <c r="D361" s="118"/>
      <c r="E361" s="118"/>
      <c r="F361" s="250"/>
      <c r="G361" s="250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</row>
    <row r="362" ht="15.75" customHeight="1">
      <c r="A362" s="118"/>
      <c r="B362" s="118"/>
      <c r="C362" s="118"/>
      <c r="D362" s="118"/>
      <c r="E362" s="118"/>
      <c r="F362" s="250"/>
      <c r="G362" s="250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</row>
    <row r="363" ht="15.75" customHeight="1">
      <c r="A363" s="118"/>
      <c r="B363" s="118"/>
      <c r="C363" s="118"/>
      <c r="D363" s="118"/>
      <c r="E363" s="118"/>
      <c r="F363" s="250"/>
      <c r="G363" s="250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</row>
    <row r="364" ht="15.75" customHeight="1">
      <c r="A364" s="118"/>
      <c r="B364" s="118"/>
      <c r="C364" s="118"/>
      <c r="D364" s="118"/>
      <c r="E364" s="118"/>
      <c r="F364" s="250"/>
      <c r="G364" s="250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</row>
    <row r="365" ht="15.75" customHeight="1">
      <c r="A365" s="118"/>
      <c r="B365" s="118"/>
      <c r="C365" s="118"/>
      <c r="D365" s="118"/>
      <c r="E365" s="118"/>
      <c r="F365" s="250"/>
      <c r="G365" s="250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</row>
    <row r="366" ht="15.75" customHeight="1">
      <c r="A366" s="118"/>
      <c r="B366" s="118"/>
      <c r="C366" s="118"/>
      <c r="D366" s="118"/>
      <c r="E366" s="118"/>
      <c r="F366" s="250"/>
      <c r="G366" s="250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</row>
    <row r="367" ht="15.75" customHeight="1">
      <c r="A367" s="118"/>
      <c r="B367" s="118"/>
      <c r="C367" s="118"/>
      <c r="D367" s="118"/>
      <c r="E367" s="118"/>
      <c r="F367" s="250"/>
      <c r="G367" s="250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</row>
    <row r="368" ht="15.75" customHeight="1">
      <c r="A368" s="118"/>
      <c r="B368" s="118"/>
      <c r="C368" s="118"/>
      <c r="D368" s="118"/>
      <c r="E368" s="118"/>
      <c r="F368" s="250"/>
      <c r="G368" s="250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</row>
    <row r="369" ht="15.75" customHeight="1">
      <c r="A369" s="118"/>
      <c r="B369" s="118"/>
      <c r="C369" s="118"/>
      <c r="D369" s="118"/>
      <c r="E369" s="118"/>
      <c r="F369" s="250"/>
      <c r="G369" s="250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</row>
    <row r="370" ht="15.75" customHeight="1">
      <c r="A370" s="118"/>
      <c r="B370" s="118"/>
      <c r="C370" s="118"/>
      <c r="D370" s="118"/>
      <c r="E370" s="118"/>
      <c r="F370" s="250"/>
      <c r="G370" s="250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</row>
    <row r="371" ht="15.75" customHeight="1">
      <c r="A371" s="118"/>
      <c r="B371" s="118"/>
      <c r="C371" s="118"/>
      <c r="D371" s="118"/>
      <c r="E371" s="118"/>
      <c r="F371" s="250"/>
      <c r="G371" s="250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</row>
    <row r="372" ht="15.75" customHeight="1">
      <c r="A372" s="118"/>
      <c r="B372" s="118"/>
      <c r="C372" s="118"/>
      <c r="D372" s="118"/>
      <c r="E372" s="118"/>
      <c r="F372" s="250"/>
      <c r="G372" s="250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</row>
    <row r="373" ht="15.75" customHeight="1">
      <c r="A373" s="118"/>
      <c r="B373" s="118"/>
      <c r="C373" s="118"/>
      <c r="D373" s="118"/>
      <c r="E373" s="118"/>
      <c r="F373" s="250"/>
      <c r="G373" s="250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</row>
    <row r="374" ht="15.75" customHeight="1">
      <c r="A374" s="118"/>
      <c r="B374" s="118"/>
      <c r="C374" s="118"/>
      <c r="D374" s="118"/>
      <c r="E374" s="118"/>
      <c r="F374" s="250"/>
      <c r="G374" s="250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</row>
    <row r="375" ht="15.75" customHeight="1">
      <c r="A375" s="118"/>
      <c r="B375" s="118"/>
      <c r="C375" s="118"/>
      <c r="D375" s="118"/>
      <c r="E375" s="118"/>
      <c r="F375" s="250"/>
      <c r="G375" s="250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</row>
    <row r="376" ht="15.75" customHeight="1">
      <c r="A376" s="118"/>
      <c r="B376" s="118"/>
      <c r="C376" s="118"/>
      <c r="D376" s="118"/>
      <c r="E376" s="118"/>
      <c r="F376" s="250"/>
      <c r="G376" s="250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</row>
    <row r="377" ht="15.75" customHeight="1">
      <c r="A377" s="118"/>
      <c r="B377" s="118"/>
      <c r="C377" s="118"/>
      <c r="D377" s="118"/>
      <c r="E377" s="118"/>
      <c r="F377" s="250"/>
      <c r="G377" s="250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</row>
    <row r="378" ht="15.75" customHeight="1">
      <c r="A378" s="118"/>
      <c r="B378" s="118"/>
      <c r="C378" s="118"/>
      <c r="D378" s="118"/>
      <c r="E378" s="118"/>
      <c r="F378" s="250"/>
      <c r="G378" s="250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</row>
    <row r="379" ht="15.75" customHeight="1">
      <c r="A379" s="118"/>
      <c r="B379" s="118"/>
      <c r="C379" s="118"/>
      <c r="D379" s="118"/>
      <c r="E379" s="118"/>
      <c r="F379" s="250"/>
      <c r="G379" s="250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</row>
    <row r="380" ht="15.75" customHeight="1">
      <c r="A380" s="118"/>
      <c r="B380" s="118"/>
      <c r="C380" s="118"/>
      <c r="D380" s="118"/>
      <c r="E380" s="118"/>
      <c r="F380" s="250"/>
      <c r="G380" s="250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</row>
    <row r="381" ht="15.75" customHeight="1">
      <c r="A381" s="118"/>
      <c r="B381" s="118"/>
      <c r="C381" s="118"/>
      <c r="D381" s="118"/>
      <c r="E381" s="118"/>
      <c r="F381" s="250"/>
      <c r="G381" s="250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</row>
    <row r="382" ht="15.75" customHeight="1">
      <c r="A382" s="118"/>
      <c r="B382" s="118"/>
      <c r="C382" s="118"/>
      <c r="D382" s="118"/>
      <c r="E382" s="118"/>
      <c r="F382" s="250"/>
      <c r="G382" s="250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</row>
    <row r="383" ht="15.75" customHeight="1">
      <c r="A383" s="118"/>
      <c r="B383" s="118"/>
      <c r="C383" s="118"/>
      <c r="D383" s="118"/>
      <c r="E383" s="118"/>
      <c r="F383" s="250"/>
      <c r="G383" s="250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</row>
    <row r="384" ht="15.75" customHeight="1">
      <c r="A384" s="118"/>
      <c r="B384" s="118"/>
      <c r="C384" s="118"/>
      <c r="D384" s="118"/>
      <c r="E384" s="118"/>
      <c r="F384" s="250"/>
      <c r="G384" s="250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</row>
    <row r="385" ht="15.75" customHeight="1">
      <c r="A385" s="118"/>
      <c r="B385" s="118"/>
      <c r="C385" s="118"/>
      <c r="D385" s="118"/>
      <c r="E385" s="118"/>
      <c r="F385" s="250"/>
      <c r="G385" s="250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</row>
    <row r="386" ht="15.75" customHeight="1">
      <c r="A386" s="118"/>
      <c r="B386" s="118"/>
      <c r="C386" s="118"/>
      <c r="D386" s="118"/>
      <c r="E386" s="118"/>
      <c r="F386" s="250"/>
      <c r="G386" s="250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</row>
    <row r="387" ht="15.75" customHeight="1">
      <c r="A387" s="118"/>
      <c r="B387" s="118"/>
      <c r="C387" s="118"/>
      <c r="D387" s="118"/>
      <c r="E387" s="118"/>
      <c r="F387" s="250"/>
      <c r="G387" s="250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</row>
    <row r="388" ht="15.75" customHeight="1">
      <c r="A388" s="118"/>
      <c r="B388" s="118"/>
      <c r="C388" s="118"/>
      <c r="D388" s="118"/>
      <c r="E388" s="118"/>
      <c r="F388" s="250"/>
      <c r="G388" s="250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</row>
    <row r="389" ht="15.75" customHeight="1">
      <c r="A389" s="118"/>
      <c r="B389" s="118"/>
      <c r="C389" s="118"/>
      <c r="D389" s="118"/>
      <c r="E389" s="118"/>
      <c r="F389" s="250"/>
      <c r="G389" s="250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</row>
    <row r="390" ht="15.75" customHeight="1">
      <c r="A390" s="118"/>
      <c r="B390" s="118"/>
      <c r="C390" s="118"/>
      <c r="D390" s="118"/>
      <c r="E390" s="118"/>
      <c r="F390" s="250"/>
      <c r="G390" s="250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</row>
    <row r="391" ht="15.75" customHeight="1">
      <c r="A391" s="118"/>
      <c r="B391" s="118"/>
      <c r="C391" s="118"/>
      <c r="D391" s="118"/>
      <c r="E391" s="118"/>
      <c r="F391" s="250"/>
      <c r="G391" s="250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</row>
    <row r="392" ht="15.75" customHeight="1">
      <c r="A392" s="118"/>
      <c r="B392" s="118"/>
      <c r="C392" s="118"/>
      <c r="D392" s="118"/>
      <c r="E392" s="118"/>
      <c r="F392" s="250"/>
      <c r="G392" s="250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</row>
    <row r="393" ht="15.75" customHeight="1">
      <c r="A393" s="118"/>
      <c r="B393" s="118"/>
      <c r="C393" s="118"/>
      <c r="D393" s="118"/>
      <c r="E393" s="118"/>
      <c r="F393" s="250"/>
      <c r="G393" s="250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</row>
    <row r="394" ht="15.75" customHeight="1">
      <c r="A394" s="118"/>
      <c r="B394" s="118"/>
      <c r="C394" s="118"/>
      <c r="D394" s="118"/>
      <c r="E394" s="118"/>
      <c r="F394" s="250"/>
      <c r="G394" s="250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</row>
    <row r="395" ht="15.75" customHeight="1">
      <c r="A395" s="118"/>
      <c r="B395" s="118"/>
      <c r="C395" s="118"/>
      <c r="D395" s="118"/>
      <c r="E395" s="118"/>
      <c r="F395" s="250"/>
      <c r="G395" s="250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</row>
    <row r="396" ht="15.75" customHeight="1">
      <c r="A396" s="118"/>
      <c r="B396" s="118"/>
      <c r="C396" s="118"/>
      <c r="D396" s="118"/>
      <c r="E396" s="118"/>
      <c r="F396" s="250"/>
      <c r="G396" s="250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</row>
    <row r="397" ht="15.75" customHeight="1">
      <c r="A397" s="118"/>
      <c r="B397" s="118"/>
      <c r="C397" s="118"/>
      <c r="D397" s="118"/>
      <c r="E397" s="118"/>
      <c r="F397" s="250"/>
      <c r="G397" s="250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</row>
    <row r="398" ht="15.75" customHeight="1">
      <c r="A398" s="118"/>
      <c r="B398" s="118"/>
      <c r="C398" s="118"/>
      <c r="D398" s="118"/>
      <c r="E398" s="118"/>
      <c r="F398" s="250"/>
      <c r="G398" s="250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</row>
    <row r="399" ht="15.75" customHeight="1">
      <c r="A399" s="118"/>
      <c r="B399" s="118"/>
      <c r="C399" s="118"/>
      <c r="D399" s="118"/>
      <c r="E399" s="118"/>
      <c r="F399" s="250"/>
      <c r="G399" s="250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</row>
    <row r="400" ht="15.75" customHeight="1">
      <c r="A400" s="118"/>
      <c r="B400" s="118"/>
      <c r="C400" s="118"/>
      <c r="D400" s="118"/>
      <c r="E400" s="118"/>
      <c r="F400" s="250"/>
      <c r="G400" s="250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</row>
    <row r="401" ht="15.75" customHeight="1">
      <c r="A401" s="118"/>
      <c r="B401" s="118"/>
      <c r="C401" s="118"/>
      <c r="D401" s="118"/>
      <c r="E401" s="118"/>
      <c r="F401" s="250"/>
      <c r="G401" s="250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</row>
    <row r="402" ht="15.75" customHeight="1">
      <c r="A402" s="118"/>
      <c r="B402" s="118"/>
      <c r="C402" s="118"/>
      <c r="D402" s="118"/>
      <c r="E402" s="118"/>
      <c r="F402" s="250"/>
      <c r="G402" s="250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</row>
    <row r="403" ht="15.75" customHeight="1">
      <c r="A403" s="118"/>
      <c r="B403" s="118"/>
      <c r="C403" s="118"/>
      <c r="D403" s="118"/>
      <c r="E403" s="118"/>
      <c r="F403" s="250"/>
      <c r="G403" s="250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</row>
    <row r="404" ht="15.75" customHeight="1">
      <c r="A404" s="118"/>
      <c r="B404" s="118"/>
      <c r="C404" s="118"/>
      <c r="D404" s="118"/>
      <c r="E404" s="118"/>
      <c r="F404" s="250"/>
      <c r="G404" s="250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</row>
    <row r="405" ht="15.75" customHeight="1">
      <c r="A405" s="118"/>
      <c r="B405" s="118"/>
      <c r="C405" s="118"/>
      <c r="D405" s="118"/>
      <c r="E405" s="118"/>
      <c r="F405" s="250"/>
      <c r="G405" s="250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</row>
    <row r="406" ht="15.75" customHeight="1">
      <c r="A406" s="118"/>
      <c r="B406" s="118"/>
      <c r="C406" s="118"/>
      <c r="D406" s="118"/>
      <c r="E406" s="118"/>
      <c r="F406" s="250"/>
      <c r="G406" s="250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</row>
    <row r="407" ht="15.75" customHeight="1">
      <c r="A407" s="118"/>
      <c r="B407" s="118"/>
      <c r="C407" s="118"/>
      <c r="D407" s="118"/>
      <c r="E407" s="118"/>
      <c r="F407" s="250"/>
      <c r="G407" s="250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</row>
    <row r="408" ht="15.75" customHeight="1">
      <c r="A408" s="118"/>
      <c r="B408" s="118"/>
      <c r="C408" s="118"/>
      <c r="D408" s="118"/>
      <c r="E408" s="118"/>
      <c r="F408" s="250"/>
      <c r="G408" s="250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</row>
    <row r="409" ht="15.75" customHeight="1">
      <c r="A409" s="118"/>
      <c r="B409" s="118"/>
      <c r="C409" s="118"/>
      <c r="D409" s="118"/>
      <c r="E409" s="118"/>
      <c r="F409" s="250"/>
      <c r="G409" s="250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</row>
    <row r="410" ht="15.75" customHeight="1">
      <c r="A410" s="118"/>
      <c r="B410" s="118"/>
      <c r="C410" s="118"/>
      <c r="D410" s="118"/>
      <c r="E410" s="118"/>
      <c r="F410" s="250"/>
      <c r="G410" s="250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</row>
    <row r="411" ht="15.75" customHeight="1">
      <c r="A411" s="118"/>
      <c r="B411" s="118"/>
      <c r="C411" s="118"/>
      <c r="D411" s="118"/>
      <c r="E411" s="118"/>
      <c r="F411" s="250"/>
      <c r="G411" s="250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</row>
    <row r="412" ht="15.75" customHeight="1">
      <c r="A412" s="118"/>
      <c r="B412" s="118"/>
      <c r="C412" s="118"/>
      <c r="D412" s="118"/>
      <c r="E412" s="118"/>
      <c r="F412" s="250"/>
      <c r="G412" s="250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</row>
    <row r="413" ht="15.75" customHeight="1">
      <c r="A413" s="118"/>
      <c r="B413" s="118"/>
      <c r="C413" s="118"/>
      <c r="D413" s="118"/>
      <c r="E413" s="118"/>
      <c r="F413" s="250"/>
      <c r="G413" s="250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</row>
    <row r="414" ht="15.75" customHeight="1">
      <c r="A414" s="118"/>
      <c r="B414" s="118"/>
      <c r="C414" s="118"/>
      <c r="D414" s="118"/>
      <c r="E414" s="118"/>
      <c r="F414" s="250"/>
      <c r="G414" s="250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</row>
    <row r="415" ht="15.75" customHeight="1">
      <c r="A415" s="118"/>
      <c r="B415" s="118"/>
      <c r="C415" s="118"/>
      <c r="D415" s="118"/>
      <c r="E415" s="118"/>
      <c r="F415" s="250"/>
      <c r="G415" s="250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</row>
    <row r="416" ht="15.75" customHeight="1">
      <c r="A416" s="118"/>
      <c r="B416" s="118"/>
      <c r="C416" s="118"/>
      <c r="D416" s="118"/>
      <c r="E416" s="118"/>
      <c r="F416" s="250"/>
      <c r="G416" s="250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</row>
    <row r="417" ht="15.75" customHeight="1">
      <c r="A417" s="118"/>
      <c r="B417" s="118"/>
      <c r="C417" s="118"/>
      <c r="D417" s="118"/>
      <c r="E417" s="118"/>
      <c r="F417" s="250"/>
      <c r="G417" s="250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</row>
    <row r="418" ht="15.75" customHeight="1">
      <c r="A418" s="118"/>
      <c r="B418" s="118"/>
      <c r="C418" s="118"/>
      <c r="D418" s="118"/>
      <c r="E418" s="118"/>
      <c r="F418" s="250"/>
      <c r="G418" s="250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</row>
    <row r="419" ht="15.75" customHeight="1">
      <c r="A419" s="118"/>
      <c r="B419" s="118"/>
      <c r="C419" s="118"/>
      <c r="D419" s="118"/>
      <c r="E419" s="118"/>
      <c r="F419" s="250"/>
      <c r="G419" s="250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</row>
    <row r="420" ht="15.75" customHeight="1">
      <c r="A420" s="118"/>
      <c r="B420" s="118"/>
      <c r="C420" s="118"/>
      <c r="D420" s="118"/>
      <c r="E420" s="118"/>
      <c r="F420" s="250"/>
      <c r="G420" s="250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</row>
    <row r="421" ht="15.75" customHeight="1">
      <c r="A421" s="118"/>
      <c r="B421" s="118"/>
      <c r="C421" s="118"/>
      <c r="D421" s="118"/>
      <c r="E421" s="118"/>
      <c r="F421" s="250"/>
      <c r="G421" s="250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</row>
    <row r="422" ht="15.75" customHeight="1">
      <c r="A422" s="118"/>
      <c r="B422" s="118"/>
      <c r="C422" s="118"/>
      <c r="D422" s="118"/>
      <c r="E422" s="118"/>
      <c r="F422" s="250"/>
      <c r="G422" s="250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</row>
    <row r="423" ht="15.75" customHeight="1">
      <c r="A423" s="118"/>
      <c r="B423" s="118"/>
      <c r="C423" s="118"/>
      <c r="D423" s="118"/>
      <c r="E423" s="118"/>
      <c r="F423" s="250"/>
      <c r="G423" s="250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</row>
    <row r="424" ht="15.75" customHeight="1">
      <c r="A424" s="118"/>
      <c r="B424" s="118"/>
      <c r="C424" s="118"/>
      <c r="D424" s="118"/>
      <c r="E424" s="118"/>
      <c r="F424" s="250"/>
      <c r="G424" s="250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</row>
    <row r="425" ht="15.75" customHeight="1">
      <c r="A425" s="118"/>
      <c r="B425" s="118"/>
      <c r="C425" s="118"/>
      <c r="D425" s="118"/>
      <c r="E425" s="118"/>
      <c r="F425" s="250"/>
      <c r="G425" s="250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</row>
    <row r="426" ht="15.75" customHeight="1">
      <c r="A426" s="118"/>
      <c r="B426" s="118"/>
      <c r="C426" s="118"/>
      <c r="D426" s="118"/>
      <c r="E426" s="118"/>
      <c r="F426" s="250"/>
      <c r="G426" s="250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</row>
    <row r="427" ht="15.75" customHeight="1">
      <c r="A427" s="118"/>
      <c r="B427" s="118"/>
      <c r="C427" s="118"/>
      <c r="D427" s="118"/>
      <c r="E427" s="118"/>
      <c r="F427" s="250"/>
      <c r="G427" s="250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</row>
    <row r="428" ht="15.75" customHeight="1">
      <c r="A428" s="118"/>
      <c r="B428" s="118"/>
      <c r="C428" s="118"/>
      <c r="D428" s="118"/>
      <c r="E428" s="118"/>
      <c r="F428" s="250"/>
      <c r="G428" s="250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</row>
    <row r="429" ht="15.75" customHeight="1">
      <c r="A429" s="118"/>
      <c r="B429" s="118"/>
      <c r="C429" s="118"/>
      <c r="D429" s="118"/>
      <c r="E429" s="118"/>
      <c r="F429" s="250"/>
      <c r="G429" s="250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</row>
    <row r="430" ht="15.75" customHeight="1">
      <c r="A430" s="118"/>
      <c r="B430" s="118"/>
      <c r="C430" s="118"/>
      <c r="D430" s="118"/>
      <c r="E430" s="118"/>
      <c r="F430" s="250"/>
      <c r="G430" s="250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</row>
    <row r="431" ht="15.75" customHeight="1">
      <c r="A431" s="118"/>
      <c r="B431" s="118"/>
      <c r="C431" s="118"/>
      <c r="D431" s="118"/>
      <c r="E431" s="118"/>
      <c r="F431" s="250"/>
      <c r="G431" s="250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</row>
    <row r="432" ht="15.75" customHeight="1">
      <c r="A432" s="118"/>
      <c r="B432" s="118"/>
      <c r="C432" s="118"/>
      <c r="D432" s="118"/>
      <c r="E432" s="118"/>
      <c r="F432" s="250"/>
      <c r="G432" s="250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</row>
    <row r="433" ht="15.75" customHeight="1">
      <c r="A433" s="118"/>
      <c r="B433" s="118"/>
      <c r="C433" s="118"/>
      <c r="D433" s="118"/>
      <c r="E433" s="118"/>
      <c r="F433" s="250"/>
      <c r="G433" s="250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</row>
    <row r="434" ht="15.75" customHeight="1">
      <c r="A434" s="118"/>
      <c r="B434" s="118"/>
      <c r="C434" s="118"/>
      <c r="D434" s="118"/>
      <c r="E434" s="118"/>
      <c r="F434" s="250"/>
      <c r="G434" s="250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</row>
    <row r="435" ht="15.75" customHeight="1">
      <c r="A435" s="118"/>
      <c r="B435" s="118"/>
      <c r="C435" s="118"/>
      <c r="D435" s="118"/>
      <c r="E435" s="118"/>
      <c r="F435" s="250"/>
      <c r="G435" s="250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</row>
    <row r="436" ht="15.75" customHeight="1">
      <c r="A436" s="118"/>
      <c r="B436" s="118"/>
      <c r="C436" s="118"/>
      <c r="D436" s="118"/>
      <c r="E436" s="118"/>
      <c r="F436" s="250"/>
      <c r="G436" s="250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</row>
    <row r="437" ht="15.75" customHeight="1">
      <c r="A437" s="118"/>
      <c r="B437" s="118"/>
      <c r="C437" s="118"/>
      <c r="D437" s="118"/>
      <c r="E437" s="118"/>
      <c r="F437" s="250"/>
      <c r="G437" s="250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</row>
    <row r="438" ht="15.75" customHeight="1">
      <c r="A438" s="118"/>
      <c r="B438" s="118"/>
      <c r="C438" s="118"/>
      <c r="D438" s="118"/>
      <c r="E438" s="118"/>
      <c r="F438" s="250"/>
      <c r="G438" s="250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</row>
    <row r="439" ht="15.75" customHeight="1">
      <c r="A439" s="118"/>
      <c r="B439" s="118"/>
      <c r="C439" s="118"/>
      <c r="D439" s="118"/>
      <c r="E439" s="118"/>
      <c r="F439" s="250"/>
      <c r="G439" s="250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</row>
    <row r="440" ht="15.75" customHeight="1">
      <c r="A440" s="118"/>
      <c r="B440" s="118"/>
      <c r="C440" s="118"/>
      <c r="D440" s="118"/>
      <c r="E440" s="118"/>
      <c r="F440" s="250"/>
      <c r="G440" s="250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</row>
    <row r="441" ht="15.75" customHeight="1">
      <c r="A441" s="118"/>
      <c r="B441" s="118"/>
      <c r="C441" s="118"/>
      <c r="D441" s="118"/>
      <c r="E441" s="118"/>
      <c r="F441" s="250"/>
      <c r="G441" s="250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</row>
    <row r="442" ht="15.75" customHeight="1">
      <c r="A442" s="118"/>
      <c r="B442" s="118"/>
      <c r="C442" s="118"/>
      <c r="D442" s="118"/>
      <c r="E442" s="118"/>
      <c r="F442" s="250"/>
      <c r="G442" s="250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</row>
    <row r="443" ht="15.75" customHeight="1">
      <c r="A443" s="118"/>
      <c r="B443" s="118"/>
      <c r="C443" s="118"/>
      <c r="D443" s="118"/>
      <c r="E443" s="118"/>
      <c r="F443" s="250"/>
      <c r="G443" s="250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</row>
    <row r="444" ht="15.75" customHeight="1">
      <c r="A444" s="118"/>
      <c r="B444" s="118"/>
      <c r="C444" s="118"/>
      <c r="D444" s="118"/>
      <c r="E444" s="118"/>
      <c r="F444" s="250"/>
      <c r="G444" s="250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</row>
    <row r="445" ht="15.75" customHeight="1">
      <c r="A445" s="118"/>
      <c r="B445" s="118"/>
      <c r="C445" s="118"/>
      <c r="D445" s="118"/>
      <c r="E445" s="118"/>
      <c r="F445" s="250"/>
      <c r="G445" s="250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</row>
    <row r="446" ht="15.75" customHeight="1">
      <c r="A446" s="118"/>
      <c r="B446" s="118"/>
      <c r="C446" s="118"/>
      <c r="D446" s="118"/>
      <c r="E446" s="118"/>
      <c r="F446" s="250"/>
      <c r="G446" s="250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</row>
    <row r="447" ht="15.75" customHeight="1">
      <c r="A447" s="118"/>
      <c r="B447" s="118"/>
      <c r="C447" s="118"/>
      <c r="D447" s="118"/>
      <c r="E447" s="118"/>
      <c r="F447" s="250"/>
      <c r="G447" s="250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</row>
    <row r="448" ht="15.75" customHeight="1">
      <c r="A448" s="118"/>
      <c r="B448" s="118"/>
      <c r="C448" s="118"/>
      <c r="D448" s="118"/>
      <c r="E448" s="118"/>
      <c r="F448" s="250"/>
      <c r="G448" s="250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</row>
    <row r="449" ht="15.75" customHeight="1">
      <c r="A449" s="118"/>
      <c r="B449" s="118"/>
      <c r="C449" s="118"/>
      <c r="D449" s="118"/>
      <c r="E449" s="118"/>
      <c r="F449" s="250"/>
      <c r="G449" s="250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</row>
    <row r="450" ht="15.75" customHeight="1">
      <c r="A450" s="118"/>
      <c r="B450" s="118"/>
      <c r="C450" s="118"/>
      <c r="D450" s="118"/>
      <c r="E450" s="118"/>
      <c r="F450" s="250"/>
      <c r="G450" s="250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</row>
    <row r="451" ht="15.75" customHeight="1">
      <c r="A451" s="118"/>
      <c r="B451" s="118"/>
      <c r="C451" s="118"/>
      <c r="D451" s="118"/>
      <c r="E451" s="118"/>
      <c r="F451" s="250"/>
      <c r="G451" s="250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</row>
    <row r="452" ht="15.75" customHeight="1">
      <c r="A452" s="118"/>
      <c r="B452" s="118"/>
      <c r="C452" s="118"/>
      <c r="D452" s="118"/>
      <c r="E452" s="118"/>
      <c r="F452" s="250"/>
      <c r="G452" s="250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</row>
    <row r="453" ht="15.75" customHeight="1">
      <c r="A453" s="118"/>
      <c r="B453" s="118"/>
      <c r="C453" s="118"/>
      <c r="D453" s="118"/>
      <c r="E453" s="118"/>
      <c r="F453" s="250"/>
      <c r="G453" s="250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</row>
    <row r="454" ht="15.75" customHeight="1">
      <c r="A454" s="118"/>
      <c r="B454" s="118"/>
      <c r="C454" s="118"/>
      <c r="D454" s="118"/>
      <c r="E454" s="118"/>
      <c r="F454" s="250"/>
      <c r="G454" s="250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</row>
    <row r="455" ht="15.75" customHeight="1">
      <c r="A455" s="118"/>
      <c r="B455" s="118"/>
      <c r="C455" s="118"/>
      <c r="D455" s="118"/>
      <c r="E455" s="118"/>
      <c r="F455" s="250"/>
      <c r="G455" s="250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</row>
    <row r="456" ht="15.75" customHeight="1">
      <c r="A456" s="118"/>
      <c r="B456" s="118"/>
      <c r="C456" s="118"/>
      <c r="D456" s="118"/>
      <c r="E456" s="118"/>
      <c r="F456" s="250"/>
      <c r="G456" s="250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</row>
    <row r="457" ht="15.75" customHeight="1">
      <c r="A457" s="118"/>
      <c r="B457" s="118"/>
      <c r="C457" s="118"/>
      <c r="D457" s="118"/>
      <c r="E457" s="118"/>
      <c r="F457" s="250"/>
      <c r="G457" s="250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</row>
    <row r="458" ht="15.75" customHeight="1">
      <c r="A458" s="118"/>
      <c r="B458" s="118"/>
      <c r="C458" s="118"/>
      <c r="D458" s="118"/>
      <c r="E458" s="118"/>
      <c r="F458" s="250"/>
      <c r="G458" s="250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</row>
    <row r="459" ht="15.75" customHeight="1">
      <c r="A459" s="118"/>
      <c r="B459" s="118"/>
      <c r="C459" s="118"/>
      <c r="D459" s="118"/>
      <c r="E459" s="118"/>
      <c r="F459" s="250"/>
      <c r="G459" s="250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</row>
    <row r="460" ht="15.75" customHeight="1">
      <c r="A460" s="118"/>
      <c r="B460" s="118"/>
      <c r="C460" s="118"/>
      <c r="D460" s="118"/>
      <c r="E460" s="118"/>
      <c r="F460" s="250"/>
      <c r="G460" s="250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</row>
    <row r="461" ht="15.75" customHeight="1">
      <c r="A461" s="118"/>
      <c r="B461" s="118"/>
      <c r="C461" s="118"/>
      <c r="D461" s="118"/>
      <c r="E461" s="118"/>
      <c r="F461" s="250"/>
      <c r="G461" s="250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</row>
    <row r="462" ht="15.75" customHeight="1">
      <c r="A462" s="118"/>
      <c r="B462" s="118"/>
      <c r="C462" s="118"/>
      <c r="D462" s="118"/>
      <c r="E462" s="118"/>
      <c r="F462" s="250"/>
      <c r="G462" s="250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</row>
    <row r="463" ht="15.75" customHeight="1">
      <c r="A463" s="118"/>
      <c r="B463" s="118"/>
      <c r="C463" s="118"/>
      <c r="D463" s="118"/>
      <c r="E463" s="118"/>
      <c r="F463" s="250"/>
      <c r="G463" s="250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</row>
    <row r="464" ht="15.75" customHeight="1">
      <c r="A464" s="118"/>
      <c r="B464" s="118"/>
      <c r="C464" s="118"/>
      <c r="D464" s="118"/>
      <c r="E464" s="118"/>
      <c r="F464" s="250"/>
      <c r="G464" s="250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</row>
    <row r="465" ht="15.75" customHeight="1">
      <c r="A465" s="118"/>
      <c r="B465" s="118"/>
      <c r="C465" s="118"/>
      <c r="D465" s="118"/>
      <c r="E465" s="118"/>
      <c r="F465" s="250"/>
      <c r="G465" s="250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</row>
    <row r="466" ht="15.75" customHeight="1">
      <c r="A466" s="118"/>
      <c r="B466" s="118"/>
      <c r="C466" s="118"/>
      <c r="D466" s="118"/>
      <c r="E466" s="118"/>
      <c r="F466" s="250"/>
      <c r="G466" s="250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</row>
    <row r="467" ht="15.75" customHeight="1">
      <c r="A467" s="118"/>
      <c r="B467" s="118"/>
      <c r="C467" s="118"/>
      <c r="D467" s="118"/>
      <c r="E467" s="118"/>
      <c r="F467" s="250"/>
      <c r="G467" s="250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</row>
    <row r="468" ht="15.75" customHeight="1">
      <c r="A468" s="118"/>
      <c r="B468" s="118"/>
      <c r="C468" s="118"/>
      <c r="D468" s="118"/>
      <c r="E468" s="118"/>
      <c r="F468" s="250"/>
      <c r="G468" s="250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</row>
    <row r="469" ht="15.75" customHeight="1">
      <c r="A469" s="118"/>
      <c r="B469" s="118"/>
      <c r="C469" s="118"/>
      <c r="D469" s="118"/>
      <c r="E469" s="118"/>
      <c r="F469" s="250"/>
      <c r="G469" s="250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</row>
    <row r="470" ht="15.75" customHeight="1">
      <c r="A470" s="118"/>
      <c r="B470" s="118"/>
      <c r="C470" s="118"/>
      <c r="D470" s="118"/>
      <c r="E470" s="118"/>
      <c r="F470" s="250"/>
      <c r="G470" s="250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</row>
    <row r="471" ht="15.75" customHeight="1">
      <c r="A471" s="118"/>
      <c r="B471" s="118"/>
      <c r="C471" s="118"/>
      <c r="D471" s="118"/>
      <c r="E471" s="118"/>
      <c r="F471" s="250"/>
      <c r="G471" s="250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</row>
    <row r="472" ht="15.75" customHeight="1">
      <c r="A472" s="118"/>
      <c r="B472" s="118"/>
      <c r="C472" s="118"/>
      <c r="D472" s="118"/>
      <c r="E472" s="118"/>
      <c r="F472" s="250"/>
      <c r="G472" s="250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</row>
    <row r="473" ht="15.75" customHeight="1">
      <c r="A473" s="118"/>
      <c r="B473" s="118"/>
      <c r="C473" s="118"/>
      <c r="D473" s="118"/>
      <c r="E473" s="118"/>
      <c r="F473" s="250"/>
      <c r="G473" s="250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</row>
    <row r="474" ht="15.75" customHeight="1">
      <c r="A474" s="118"/>
      <c r="B474" s="118"/>
      <c r="C474" s="118"/>
      <c r="D474" s="118"/>
      <c r="E474" s="118"/>
      <c r="F474" s="250"/>
      <c r="G474" s="250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</row>
    <row r="475" ht="15.75" customHeight="1">
      <c r="A475" s="118"/>
      <c r="B475" s="118"/>
      <c r="C475" s="118"/>
      <c r="D475" s="118"/>
      <c r="E475" s="118"/>
      <c r="F475" s="250"/>
      <c r="G475" s="250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</row>
    <row r="476" ht="15.75" customHeight="1">
      <c r="A476" s="118"/>
      <c r="B476" s="118"/>
      <c r="C476" s="118"/>
      <c r="D476" s="118"/>
      <c r="E476" s="118"/>
      <c r="F476" s="250"/>
      <c r="G476" s="250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</row>
    <row r="477" ht="15.75" customHeight="1">
      <c r="A477" s="118"/>
      <c r="B477" s="118"/>
      <c r="C477" s="118"/>
      <c r="D477" s="118"/>
      <c r="E477" s="118"/>
      <c r="F477" s="250"/>
      <c r="G477" s="250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</row>
    <row r="478" ht="15.75" customHeight="1">
      <c r="A478" s="118"/>
      <c r="B478" s="118"/>
      <c r="C478" s="118"/>
      <c r="D478" s="118"/>
      <c r="E478" s="118"/>
      <c r="F478" s="250"/>
      <c r="G478" s="250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</row>
    <row r="479" ht="15.75" customHeight="1">
      <c r="A479" s="118"/>
      <c r="B479" s="118"/>
      <c r="C479" s="118"/>
      <c r="D479" s="118"/>
      <c r="E479" s="118"/>
      <c r="F479" s="250"/>
      <c r="G479" s="250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</row>
    <row r="480" ht="15.75" customHeight="1">
      <c r="A480" s="118"/>
      <c r="B480" s="118"/>
      <c r="C480" s="118"/>
      <c r="D480" s="118"/>
      <c r="E480" s="118"/>
      <c r="F480" s="250"/>
      <c r="G480" s="250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</row>
    <row r="481" ht="15.75" customHeight="1">
      <c r="A481" s="118"/>
      <c r="B481" s="118"/>
      <c r="C481" s="118"/>
      <c r="D481" s="118"/>
      <c r="E481" s="118"/>
      <c r="F481" s="250"/>
      <c r="G481" s="250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</row>
    <row r="482" ht="15.75" customHeight="1">
      <c r="A482" s="118"/>
      <c r="B482" s="118"/>
      <c r="C482" s="118"/>
      <c r="D482" s="118"/>
      <c r="E482" s="118"/>
      <c r="F482" s="250"/>
      <c r="G482" s="250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</row>
    <row r="483" ht="15.75" customHeight="1">
      <c r="A483" s="118"/>
      <c r="B483" s="118"/>
      <c r="C483" s="118"/>
      <c r="D483" s="118"/>
      <c r="E483" s="118"/>
      <c r="F483" s="250"/>
      <c r="G483" s="250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</row>
    <row r="484" ht="15.75" customHeight="1">
      <c r="A484" s="118"/>
      <c r="B484" s="118"/>
      <c r="C484" s="118"/>
      <c r="D484" s="118"/>
      <c r="E484" s="118"/>
      <c r="F484" s="250"/>
      <c r="G484" s="250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</row>
    <row r="485" ht="15.75" customHeight="1">
      <c r="A485" s="118"/>
      <c r="B485" s="118"/>
      <c r="C485" s="118"/>
      <c r="D485" s="118"/>
      <c r="E485" s="118"/>
      <c r="F485" s="250"/>
      <c r="G485" s="250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</row>
    <row r="486" ht="15.75" customHeight="1">
      <c r="A486" s="118"/>
      <c r="B486" s="118"/>
      <c r="C486" s="118"/>
      <c r="D486" s="118"/>
      <c r="E486" s="118"/>
      <c r="F486" s="250"/>
      <c r="G486" s="250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</row>
    <row r="487" ht="15.75" customHeight="1">
      <c r="A487" s="118"/>
      <c r="B487" s="118"/>
      <c r="C487" s="118"/>
      <c r="D487" s="118"/>
      <c r="E487" s="118"/>
      <c r="F487" s="250"/>
      <c r="G487" s="250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</row>
    <row r="488" ht="15.75" customHeight="1">
      <c r="A488" s="118"/>
      <c r="B488" s="118"/>
      <c r="C488" s="118"/>
      <c r="D488" s="118"/>
      <c r="E488" s="118"/>
      <c r="F488" s="250"/>
      <c r="G488" s="250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</row>
    <row r="489" ht="15.75" customHeight="1">
      <c r="A489" s="118"/>
      <c r="B489" s="118"/>
      <c r="C489" s="118"/>
      <c r="D489" s="118"/>
      <c r="E489" s="118"/>
      <c r="F489" s="250"/>
      <c r="G489" s="250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</row>
    <row r="490" ht="15.75" customHeight="1">
      <c r="A490" s="118"/>
      <c r="B490" s="118"/>
      <c r="C490" s="118"/>
      <c r="D490" s="118"/>
      <c r="E490" s="118"/>
      <c r="F490" s="250"/>
      <c r="G490" s="250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</row>
    <row r="491" ht="15.75" customHeight="1">
      <c r="A491" s="118"/>
      <c r="B491" s="118"/>
      <c r="C491" s="118"/>
      <c r="D491" s="118"/>
      <c r="E491" s="118"/>
      <c r="F491" s="250"/>
      <c r="G491" s="250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</row>
    <row r="492" ht="15.75" customHeight="1">
      <c r="A492" s="118"/>
      <c r="B492" s="118"/>
      <c r="C492" s="118"/>
      <c r="D492" s="118"/>
      <c r="E492" s="118"/>
      <c r="F492" s="250"/>
      <c r="G492" s="250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</row>
    <row r="493" ht="15.75" customHeight="1">
      <c r="A493" s="118"/>
      <c r="B493" s="118"/>
      <c r="C493" s="118"/>
      <c r="D493" s="118"/>
      <c r="E493" s="118"/>
      <c r="F493" s="250"/>
      <c r="G493" s="250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</row>
    <row r="494" ht="15.75" customHeight="1">
      <c r="A494" s="118"/>
      <c r="B494" s="118"/>
      <c r="C494" s="118"/>
      <c r="D494" s="118"/>
      <c r="E494" s="118"/>
      <c r="F494" s="250"/>
      <c r="G494" s="250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</row>
    <row r="495" ht="15.75" customHeight="1">
      <c r="A495" s="118"/>
      <c r="B495" s="118"/>
      <c r="C495" s="118"/>
      <c r="D495" s="118"/>
      <c r="E495" s="118"/>
      <c r="F495" s="250"/>
      <c r="G495" s="250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</row>
    <row r="496" ht="15.75" customHeight="1">
      <c r="A496" s="118"/>
      <c r="B496" s="118"/>
      <c r="C496" s="118"/>
      <c r="D496" s="118"/>
      <c r="E496" s="118"/>
      <c r="F496" s="250"/>
      <c r="G496" s="250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</row>
    <row r="497" ht="15.75" customHeight="1">
      <c r="A497" s="118"/>
      <c r="B497" s="118"/>
      <c r="C497" s="118"/>
      <c r="D497" s="118"/>
      <c r="E497" s="118"/>
      <c r="F497" s="250"/>
      <c r="G497" s="250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</row>
    <row r="498" ht="15.75" customHeight="1">
      <c r="A498" s="118"/>
      <c r="B498" s="118"/>
      <c r="C498" s="118"/>
      <c r="D498" s="118"/>
      <c r="E498" s="118"/>
      <c r="F498" s="250"/>
      <c r="G498" s="250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</row>
    <row r="499" ht="15.75" customHeight="1">
      <c r="A499" s="118"/>
      <c r="B499" s="118"/>
      <c r="C499" s="118"/>
      <c r="D499" s="118"/>
      <c r="E499" s="118"/>
      <c r="F499" s="250"/>
      <c r="G499" s="250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</row>
    <row r="500" ht="15.75" customHeight="1">
      <c r="A500" s="118"/>
      <c r="B500" s="118"/>
      <c r="C500" s="118"/>
      <c r="D500" s="118"/>
      <c r="E500" s="118"/>
      <c r="F500" s="250"/>
      <c r="G500" s="250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</row>
    <row r="501" ht="15.75" customHeight="1">
      <c r="A501" s="118"/>
      <c r="B501" s="118"/>
      <c r="C501" s="118"/>
      <c r="D501" s="118"/>
      <c r="E501" s="118"/>
      <c r="F501" s="250"/>
      <c r="G501" s="250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</row>
    <row r="502" ht="15.75" customHeight="1">
      <c r="A502" s="118"/>
      <c r="B502" s="118"/>
      <c r="C502" s="118"/>
      <c r="D502" s="118"/>
      <c r="E502" s="118"/>
      <c r="F502" s="250"/>
      <c r="G502" s="250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</row>
    <row r="503" ht="15.75" customHeight="1">
      <c r="A503" s="118"/>
      <c r="B503" s="118"/>
      <c r="C503" s="118"/>
      <c r="D503" s="118"/>
      <c r="E503" s="118"/>
      <c r="F503" s="250"/>
      <c r="G503" s="250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</row>
    <row r="504" ht="15.75" customHeight="1">
      <c r="A504" s="118"/>
      <c r="B504" s="118"/>
      <c r="C504" s="118"/>
      <c r="D504" s="118"/>
      <c r="E504" s="118"/>
      <c r="F504" s="250"/>
      <c r="G504" s="250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</row>
    <row r="505" ht="15.75" customHeight="1">
      <c r="A505" s="118"/>
      <c r="B505" s="118"/>
      <c r="C505" s="118"/>
      <c r="D505" s="118"/>
      <c r="E505" s="118"/>
      <c r="F505" s="250"/>
      <c r="G505" s="250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</row>
    <row r="506" ht="15.75" customHeight="1">
      <c r="A506" s="118"/>
      <c r="B506" s="118"/>
      <c r="C506" s="118"/>
      <c r="D506" s="118"/>
      <c r="E506" s="118"/>
      <c r="F506" s="250"/>
      <c r="G506" s="250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</row>
    <row r="507" ht="15.75" customHeight="1">
      <c r="A507" s="118"/>
      <c r="B507" s="118"/>
      <c r="C507" s="118"/>
      <c r="D507" s="118"/>
      <c r="E507" s="118"/>
      <c r="F507" s="250"/>
      <c r="G507" s="250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</row>
    <row r="508" ht="15.75" customHeight="1">
      <c r="A508" s="118"/>
      <c r="B508" s="118"/>
      <c r="C508" s="118"/>
      <c r="D508" s="118"/>
      <c r="E508" s="118"/>
      <c r="F508" s="250"/>
      <c r="G508" s="250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</row>
    <row r="509" ht="15.75" customHeight="1">
      <c r="A509" s="118"/>
      <c r="B509" s="118"/>
      <c r="C509" s="118"/>
      <c r="D509" s="118"/>
      <c r="E509" s="118"/>
      <c r="F509" s="250"/>
      <c r="G509" s="250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</row>
    <row r="510" ht="15.75" customHeight="1">
      <c r="A510" s="118"/>
      <c r="B510" s="118"/>
      <c r="C510" s="118"/>
      <c r="D510" s="118"/>
      <c r="E510" s="118"/>
      <c r="F510" s="250"/>
      <c r="G510" s="250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</row>
    <row r="511" ht="15.75" customHeight="1">
      <c r="A511" s="118"/>
      <c r="B511" s="118"/>
      <c r="C511" s="118"/>
      <c r="D511" s="118"/>
      <c r="E511" s="118"/>
      <c r="F511" s="250"/>
      <c r="G511" s="250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</row>
    <row r="512" ht="15.75" customHeight="1">
      <c r="A512" s="118"/>
      <c r="B512" s="118"/>
      <c r="C512" s="118"/>
      <c r="D512" s="118"/>
      <c r="E512" s="118"/>
      <c r="F512" s="250"/>
      <c r="G512" s="250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</row>
    <row r="513" ht="15.75" customHeight="1">
      <c r="A513" s="118"/>
      <c r="B513" s="118"/>
      <c r="C513" s="118"/>
      <c r="D513" s="118"/>
      <c r="E513" s="118"/>
      <c r="F513" s="250"/>
      <c r="G513" s="250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</row>
    <row r="514" ht="15.75" customHeight="1">
      <c r="A514" s="118"/>
      <c r="B514" s="118"/>
      <c r="C514" s="118"/>
      <c r="D514" s="118"/>
      <c r="E514" s="118"/>
      <c r="F514" s="250"/>
      <c r="G514" s="250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</row>
    <row r="515" ht="15.75" customHeight="1">
      <c r="A515" s="118"/>
      <c r="B515" s="118"/>
      <c r="C515" s="118"/>
      <c r="D515" s="118"/>
      <c r="E515" s="118"/>
      <c r="F515" s="250"/>
      <c r="G515" s="250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</row>
    <row r="516" ht="15.75" customHeight="1">
      <c r="A516" s="118"/>
      <c r="B516" s="118"/>
      <c r="C516" s="118"/>
      <c r="D516" s="118"/>
      <c r="E516" s="118"/>
      <c r="F516" s="250"/>
      <c r="G516" s="250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</row>
    <row r="517" ht="15.75" customHeight="1">
      <c r="A517" s="118"/>
      <c r="B517" s="118"/>
      <c r="C517" s="118"/>
      <c r="D517" s="118"/>
      <c r="E517" s="118"/>
      <c r="F517" s="250"/>
      <c r="G517" s="250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</row>
    <row r="518" ht="15.75" customHeight="1">
      <c r="A518" s="118"/>
      <c r="B518" s="118"/>
      <c r="C518" s="118"/>
      <c r="D518" s="118"/>
      <c r="E518" s="118"/>
      <c r="F518" s="250"/>
      <c r="G518" s="250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</row>
    <row r="519" ht="15.75" customHeight="1">
      <c r="A519" s="118"/>
      <c r="B519" s="118"/>
      <c r="C519" s="118"/>
      <c r="D519" s="118"/>
      <c r="E519" s="118"/>
      <c r="F519" s="250"/>
      <c r="G519" s="250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</row>
    <row r="520" ht="15.75" customHeight="1">
      <c r="A520" s="118"/>
      <c r="B520" s="118"/>
      <c r="C520" s="118"/>
      <c r="D520" s="118"/>
      <c r="E520" s="118"/>
      <c r="F520" s="250"/>
      <c r="G520" s="250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</row>
    <row r="521" ht="15.75" customHeight="1">
      <c r="A521" s="118"/>
      <c r="B521" s="118"/>
      <c r="C521" s="118"/>
      <c r="D521" s="118"/>
      <c r="E521" s="118"/>
      <c r="F521" s="250"/>
      <c r="G521" s="250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</row>
    <row r="522" ht="15.75" customHeight="1">
      <c r="A522" s="118"/>
      <c r="B522" s="118"/>
      <c r="C522" s="118"/>
      <c r="D522" s="118"/>
      <c r="E522" s="118"/>
      <c r="F522" s="250"/>
      <c r="G522" s="250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</row>
    <row r="523" ht="15.75" customHeight="1">
      <c r="A523" s="118"/>
      <c r="B523" s="118"/>
      <c r="C523" s="118"/>
      <c r="D523" s="118"/>
      <c r="E523" s="118"/>
      <c r="F523" s="250"/>
      <c r="G523" s="250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</row>
    <row r="524" ht="15.75" customHeight="1">
      <c r="A524" s="118"/>
      <c r="B524" s="118"/>
      <c r="C524" s="118"/>
      <c r="D524" s="118"/>
      <c r="E524" s="118"/>
      <c r="F524" s="250"/>
      <c r="G524" s="250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</row>
    <row r="525" ht="15.75" customHeight="1">
      <c r="A525" s="118"/>
      <c r="B525" s="118"/>
      <c r="C525" s="118"/>
      <c r="D525" s="118"/>
      <c r="E525" s="118"/>
      <c r="F525" s="250"/>
      <c r="G525" s="250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</row>
    <row r="526" ht="15.75" customHeight="1">
      <c r="A526" s="118"/>
      <c r="B526" s="118"/>
      <c r="C526" s="118"/>
      <c r="D526" s="118"/>
      <c r="E526" s="118"/>
      <c r="F526" s="250"/>
      <c r="G526" s="250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</row>
    <row r="527" ht="15.75" customHeight="1">
      <c r="A527" s="118"/>
      <c r="B527" s="118"/>
      <c r="C527" s="118"/>
      <c r="D527" s="118"/>
      <c r="E527" s="118"/>
      <c r="F527" s="250"/>
      <c r="G527" s="250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</row>
    <row r="528" ht="15.75" customHeight="1">
      <c r="A528" s="118"/>
      <c r="B528" s="118"/>
      <c r="C528" s="118"/>
      <c r="D528" s="118"/>
      <c r="E528" s="118"/>
      <c r="F528" s="250"/>
      <c r="G528" s="250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</row>
    <row r="529" ht="15.75" customHeight="1">
      <c r="A529" s="118"/>
      <c r="B529" s="118"/>
      <c r="C529" s="118"/>
      <c r="D529" s="118"/>
      <c r="E529" s="118"/>
      <c r="F529" s="250"/>
      <c r="G529" s="250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</row>
    <row r="530" ht="15.75" customHeight="1">
      <c r="A530" s="118"/>
      <c r="B530" s="118"/>
      <c r="C530" s="118"/>
      <c r="D530" s="118"/>
      <c r="E530" s="118"/>
      <c r="F530" s="250"/>
      <c r="G530" s="250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</row>
    <row r="531" ht="15.75" customHeight="1">
      <c r="A531" s="118"/>
      <c r="B531" s="118"/>
      <c r="C531" s="118"/>
      <c r="D531" s="118"/>
      <c r="E531" s="118"/>
      <c r="F531" s="250"/>
      <c r="G531" s="250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</row>
    <row r="532" ht="15.75" customHeight="1">
      <c r="A532" s="118"/>
      <c r="B532" s="118"/>
      <c r="C532" s="118"/>
      <c r="D532" s="118"/>
      <c r="E532" s="118"/>
      <c r="F532" s="250"/>
      <c r="G532" s="250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</row>
    <row r="533" ht="15.75" customHeight="1">
      <c r="A533" s="118"/>
      <c r="B533" s="118"/>
      <c r="C533" s="118"/>
      <c r="D533" s="118"/>
      <c r="E533" s="118"/>
      <c r="F533" s="250"/>
      <c r="G533" s="250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</row>
    <row r="534" ht="15.75" customHeight="1">
      <c r="A534" s="118"/>
      <c r="B534" s="118"/>
      <c r="C534" s="118"/>
      <c r="D534" s="118"/>
      <c r="E534" s="118"/>
      <c r="F534" s="250"/>
      <c r="G534" s="250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</row>
    <row r="535" ht="15.75" customHeight="1">
      <c r="A535" s="118"/>
      <c r="B535" s="118"/>
      <c r="C535" s="118"/>
      <c r="D535" s="118"/>
      <c r="E535" s="118"/>
      <c r="F535" s="250"/>
      <c r="G535" s="250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</row>
    <row r="536" ht="15.75" customHeight="1">
      <c r="A536" s="118"/>
      <c r="B536" s="118"/>
      <c r="C536" s="118"/>
      <c r="D536" s="118"/>
      <c r="E536" s="118"/>
      <c r="F536" s="250"/>
      <c r="G536" s="250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</row>
    <row r="537" ht="15.75" customHeight="1">
      <c r="A537" s="118"/>
      <c r="B537" s="118"/>
      <c r="C537" s="118"/>
      <c r="D537" s="118"/>
      <c r="E537" s="118"/>
      <c r="F537" s="250"/>
      <c r="G537" s="250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</row>
    <row r="538" ht="15.75" customHeight="1">
      <c r="A538" s="118"/>
      <c r="B538" s="118"/>
      <c r="C538" s="118"/>
      <c r="D538" s="118"/>
      <c r="E538" s="118"/>
      <c r="F538" s="250"/>
      <c r="G538" s="250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</row>
    <row r="539" ht="15.75" customHeight="1">
      <c r="A539" s="118"/>
      <c r="B539" s="118"/>
      <c r="C539" s="118"/>
      <c r="D539" s="118"/>
      <c r="E539" s="118"/>
      <c r="F539" s="250"/>
      <c r="G539" s="250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</row>
    <row r="540" ht="15.75" customHeight="1">
      <c r="A540" s="118"/>
      <c r="B540" s="118"/>
      <c r="C540" s="118"/>
      <c r="D540" s="118"/>
      <c r="E540" s="118"/>
      <c r="F540" s="250"/>
      <c r="G540" s="250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</row>
    <row r="541" ht="15.75" customHeight="1">
      <c r="A541" s="118"/>
      <c r="B541" s="118"/>
      <c r="C541" s="118"/>
      <c r="D541" s="118"/>
      <c r="E541" s="118"/>
      <c r="F541" s="250"/>
      <c r="G541" s="250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</row>
    <row r="542" ht="15.75" customHeight="1">
      <c r="A542" s="118"/>
      <c r="B542" s="118"/>
      <c r="C542" s="118"/>
      <c r="D542" s="118"/>
      <c r="E542" s="118"/>
      <c r="F542" s="250"/>
      <c r="G542" s="250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</row>
    <row r="543" ht="15.75" customHeight="1">
      <c r="A543" s="118"/>
      <c r="B543" s="118"/>
      <c r="C543" s="118"/>
      <c r="D543" s="118"/>
      <c r="E543" s="118"/>
      <c r="F543" s="250"/>
      <c r="G543" s="250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</row>
    <row r="544" ht="15.75" customHeight="1">
      <c r="A544" s="118"/>
      <c r="B544" s="118"/>
      <c r="C544" s="118"/>
      <c r="D544" s="118"/>
      <c r="E544" s="118"/>
      <c r="F544" s="250"/>
      <c r="G544" s="250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</row>
    <row r="545" ht="15.75" customHeight="1">
      <c r="A545" s="118"/>
      <c r="B545" s="118"/>
      <c r="C545" s="118"/>
      <c r="D545" s="118"/>
      <c r="E545" s="118"/>
      <c r="F545" s="250"/>
      <c r="G545" s="250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</row>
    <row r="546" ht="15.75" customHeight="1">
      <c r="A546" s="118"/>
      <c r="B546" s="118"/>
      <c r="C546" s="118"/>
      <c r="D546" s="118"/>
      <c r="E546" s="118"/>
      <c r="F546" s="250"/>
      <c r="G546" s="250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</row>
    <row r="547" ht="15.75" customHeight="1">
      <c r="A547" s="118"/>
      <c r="B547" s="118"/>
      <c r="C547" s="118"/>
      <c r="D547" s="118"/>
      <c r="E547" s="118"/>
      <c r="F547" s="250"/>
      <c r="G547" s="250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</row>
    <row r="548" ht="15.75" customHeight="1">
      <c r="A548" s="118"/>
      <c r="B548" s="118"/>
      <c r="C548" s="118"/>
      <c r="D548" s="118"/>
      <c r="E548" s="118"/>
      <c r="F548" s="250"/>
      <c r="G548" s="250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</row>
    <row r="549" ht="15.75" customHeight="1">
      <c r="A549" s="118"/>
      <c r="B549" s="118"/>
      <c r="C549" s="118"/>
      <c r="D549" s="118"/>
      <c r="E549" s="118"/>
      <c r="F549" s="250"/>
      <c r="G549" s="250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</row>
    <row r="550" ht="15.75" customHeight="1">
      <c r="A550" s="118"/>
      <c r="B550" s="118"/>
      <c r="C550" s="118"/>
      <c r="D550" s="118"/>
      <c r="E550" s="118"/>
      <c r="F550" s="250"/>
      <c r="G550" s="250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</row>
    <row r="551" ht="15.75" customHeight="1">
      <c r="A551" s="118"/>
      <c r="B551" s="118"/>
      <c r="C551" s="118"/>
      <c r="D551" s="118"/>
      <c r="E551" s="118"/>
      <c r="F551" s="250"/>
      <c r="G551" s="250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</row>
    <row r="552" ht="15.75" customHeight="1">
      <c r="A552" s="118"/>
      <c r="B552" s="118"/>
      <c r="C552" s="118"/>
      <c r="D552" s="118"/>
      <c r="E552" s="118"/>
      <c r="F552" s="250"/>
      <c r="G552" s="250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</row>
    <row r="553" ht="15.75" customHeight="1">
      <c r="A553" s="118"/>
      <c r="B553" s="118"/>
      <c r="C553" s="118"/>
      <c r="D553" s="118"/>
      <c r="E553" s="118"/>
      <c r="F553" s="250"/>
      <c r="G553" s="250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</row>
    <row r="554" ht="15.75" customHeight="1">
      <c r="A554" s="118"/>
      <c r="B554" s="118"/>
      <c r="C554" s="118"/>
      <c r="D554" s="118"/>
      <c r="E554" s="118"/>
      <c r="F554" s="250"/>
      <c r="G554" s="250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</row>
    <row r="555" ht="15.75" customHeight="1">
      <c r="A555" s="118"/>
      <c r="B555" s="118"/>
      <c r="C555" s="118"/>
      <c r="D555" s="118"/>
      <c r="E555" s="118"/>
      <c r="F555" s="250"/>
      <c r="G555" s="250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</row>
    <row r="556" ht="15.75" customHeight="1">
      <c r="A556" s="118"/>
      <c r="B556" s="118"/>
      <c r="C556" s="118"/>
      <c r="D556" s="118"/>
      <c r="E556" s="118"/>
      <c r="F556" s="250"/>
      <c r="G556" s="250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</row>
    <row r="557" ht="15.75" customHeight="1">
      <c r="A557" s="118"/>
      <c r="B557" s="118"/>
      <c r="C557" s="118"/>
      <c r="D557" s="118"/>
      <c r="E557" s="118"/>
      <c r="F557" s="250"/>
      <c r="G557" s="250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</row>
    <row r="558" ht="15.75" customHeight="1">
      <c r="A558" s="118"/>
      <c r="B558" s="118"/>
      <c r="C558" s="118"/>
      <c r="D558" s="118"/>
      <c r="E558" s="118"/>
      <c r="F558" s="250"/>
      <c r="G558" s="250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</row>
    <row r="559" ht="15.75" customHeight="1">
      <c r="A559" s="118"/>
      <c r="B559" s="118"/>
      <c r="C559" s="118"/>
      <c r="D559" s="118"/>
      <c r="E559" s="118"/>
      <c r="F559" s="250"/>
      <c r="G559" s="250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</row>
    <row r="560" ht="15.75" customHeight="1">
      <c r="A560" s="118"/>
      <c r="B560" s="118"/>
      <c r="C560" s="118"/>
      <c r="D560" s="118"/>
      <c r="E560" s="118"/>
      <c r="F560" s="250"/>
      <c r="G560" s="250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</row>
    <row r="561" ht="15.75" customHeight="1">
      <c r="A561" s="118"/>
      <c r="B561" s="118"/>
      <c r="C561" s="118"/>
      <c r="D561" s="118"/>
      <c r="E561" s="118"/>
      <c r="F561" s="250"/>
      <c r="G561" s="250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</row>
    <row r="562" ht="15.75" customHeight="1">
      <c r="A562" s="118"/>
      <c r="B562" s="118"/>
      <c r="C562" s="118"/>
      <c r="D562" s="118"/>
      <c r="E562" s="118"/>
      <c r="F562" s="250"/>
      <c r="G562" s="250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</row>
    <row r="563" ht="15.75" customHeight="1">
      <c r="A563" s="118"/>
      <c r="B563" s="118"/>
      <c r="C563" s="118"/>
      <c r="D563" s="118"/>
      <c r="E563" s="118"/>
      <c r="F563" s="250"/>
      <c r="G563" s="250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</row>
    <row r="564" ht="15.75" customHeight="1">
      <c r="A564" s="118"/>
      <c r="B564" s="118"/>
      <c r="C564" s="118"/>
      <c r="D564" s="118"/>
      <c r="E564" s="118"/>
      <c r="F564" s="250"/>
      <c r="G564" s="250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</row>
    <row r="565" ht="15.75" customHeight="1">
      <c r="A565" s="118"/>
      <c r="B565" s="118"/>
      <c r="C565" s="118"/>
      <c r="D565" s="118"/>
      <c r="E565" s="118"/>
      <c r="F565" s="250"/>
      <c r="G565" s="250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</row>
    <row r="566" ht="15.75" customHeight="1">
      <c r="A566" s="118"/>
      <c r="B566" s="118"/>
      <c r="C566" s="118"/>
      <c r="D566" s="118"/>
      <c r="E566" s="118"/>
      <c r="F566" s="250"/>
      <c r="G566" s="250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</row>
    <row r="567" ht="15.75" customHeight="1">
      <c r="A567" s="118"/>
      <c r="B567" s="118"/>
      <c r="C567" s="118"/>
      <c r="D567" s="118"/>
      <c r="E567" s="118"/>
      <c r="F567" s="250"/>
      <c r="G567" s="250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</row>
    <row r="568" ht="15.75" customHeight="1">
      <c r="A568" s="118"/>
      <c r="B568" s="118"/>
      <c r="C568" s="118"/>
      <c r="D568" s="118"/>
      <c r="E568" s="118"/>
      <c r="F568" s="250"/>
      <c r="G568" s="250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</row>
    <row r="569" ht="15.75" customHeight="1">
      <c r="A569" s="118"/>
      <c r="B569" s="118"/>
      <c r="C569" s="118"/>
      <c r="D569" s="118"/>
      <c r="E569" s="118"/>
      <c r="F569" s="250"/>
      <c r="G569" s="250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</row>
    <row r="570" ht="15.75" customHeight="1">
      <c r="A570" s="118"/>
      <c r="B570" s="118"/>
      <c r="C570" s="118"/>
      <c r="D570" s="118"/>
      <c r="E570" s="118"/>
      <c r="F570" s="250"/>
      <c r="G570" s="250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</row>
    <row r="571" ht="15.75" customHeight="1">
      <c r="A571" s="118"/>
      <c r="B571" s="118"/>
      <c r="C571" s="118"/>
      <c r="D571" s="118"/>
      <c r="E571" s="118"/>
      <c r="F571" s="250"/>
      <c r="G571" s="250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</row>
    <row r="572" ht="15.75" customHeight="1">
      <c r="A572" s="118"/>
      <c r="B572" s="118"/>
      <c r="C572" s="118"/>
      <c r="D572" s="118"/>
      <c r="E572" s="118"/>
      <c r="F572" s="250"/>
      <c r="G572" s="250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</row>
    <row r="573" ht="15.75" customHeight="1">
      <c r="A573" s="118"/>
      <c r="B573" s="118"/>
      <c r="C573" s="118"/>
      <c r="D573" s="118"/>
      <c r="E573" s="118"/>
      <c r="F573" s="250"/>
      <c r="G573" s="250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</row>
    <row r="574" ht="15.75" customHeight="1">
      <c r="A574" s="118"/>
      <c r="B574" s="118"/>
      <c r="C574" s="118"/>
      <c r="D574" s="118"/>
      <c r="E574" s="118"/>
      <c r="F574" s="250"/>
      <c r="G574" s="250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</row>
    <row r="575" ht="15.75" customHeight="1">
      <c r="A575" s="118"/>
      <c r="B575" s="118"/>
      <c r="C575" s="118"/>
      <c r="D575" s="118"/>
      <c r="E575" s="118"/>
      <c r="F575" s="250"/>
      <c r="G575" s="250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</row>
    <row r="576" ht="15.75" customHeight="1">
      <c r="A576" s="118"/>
      <c r="B576" s="118"/>
      <c r="C576" s="118"/>
      <c r="D576" s="118"/>
      <c r="E576" s="118"/>
      <c r="F576" s="250"/>
      <c r="G576" s="250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</row>
    <row r="577" ht="15.75" customHeight="1">
      <c r="A577" s="118"/>
      <c r="B577" s="118"/>
      <c r="C577" s="118"/>
      <c r="D577" s="118"/>
      <c r="E577" s="118"/>
      <c r="F577" s="250"/>
      <c r="G577" s="250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</row>
    <row r="578" ht="15.75" customHeight="1">
      <c r="A578" s="118"/>
      <c r="B578" s="118"/>
      <c r="C578" s="118"/>
      <c r="D578" s="118"/>
      <c r="E578" s="118"/>
      <c r="F578" s="250"/>
      <c r="G578" s="250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</row>
    <row r="579" ht="15.75" customHeight="1">
      <c r="A579" s="118"/>
      <c r="B579" s="118"/>
      <c r="C579" s="118"/>
      <c r="D579" s="118"/>
      <c r="E579" s="118"/>
      <c r="F579" s="250"/>
      <c r="G579" s="250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</row>
    <row r="580" ht="15.75" customHeight="1">
      <c r="A580" s="118"/>
      <c r="B580" s="118"/>
      <c r="C580" s="118"/>
      <c r="D580" s="118"/>
      <c r="E580" s="118"/>
      <c r="F580" s="250"/>
      <c r="G580" s="250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</row>
    <row r="581" ht="15.75" customHeight="1">
      <c r="A581" s="118"/>
      <c r="B581" s="118"/>
      <c r="C581" s="118"/>
      <c r="D581" s="118"/>
      <c r="E581" s="118"/>
      <c r="F581" s="250"/>
      <c r="G581" s="250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</row>
    <row r="582" ht="15.75" customHeight="1">
      <c r="A582" s="118"/>
      <c r="B582" s="118"/>
      <c r="C582" s="118"/>
      <c r="D582" s="118"/>
      <c r="E582" s="118"/>
      <c r="F582" s="250"/>
      <c r="G582" s="250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</row>
    <row r="583" ht="15.75" customHeight="1">
      <c r="A583" s="118"/>
      <c r="B583" s="118"/>
      <c r="C583" s="118"/>
      <c r="D583" s="118"/>
      <c r="E583" s="118"/>
      <c r="F583" s="250"/>
      <c r="G583" s="250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</row>
    <row r="584" ht="15.75" customHeight="1">
      <c r="A584" s="118"/>
      <c r="B584" s="118"/>
      <c r="C584" s="118"/>
      <c r="D584" s="118"/>
      <c r="E584" s="118"/>
      <c r="F584" s="250"/>
      <c r="G584" s="250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</row>
    <row r="585" ht="15.75" customHeight="1">
      <c r="A585" s="118"/>
      <c r="B585" s="118"/>
      <c r="C585" s="118"/>
      <c r="D585" s="118"/>
      <c r="E585" s="118"/>
      <c r="F585" s="250"/>
      <c r="G585" s="250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</row>
    <row r="586" ht="15.75" customHeight="1">
      <c r="A586" s="118"/>
      <c r="B586" s="118"/>
      <c r="C586" s="118"/>
      <c r="D586" s="118"/>
      <c r="E586" s="118"/>
      <c r="F586" s="250"/>
      <c r="G586" s="250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</row>
    <row r="587" ht="15.75" customHeight="1">
      <c r="A587" s="118"/>
      <c r="B587" s="118"/>
      <c r="C587" s="118"/>
      <c r="D587" s="118"/>
      <c r="E587" s="118"/>
      <c r="F587" s="250"/>
      <c r="G587" s="250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</row>
    <row r="588" ht="15.75" customHeight="1">
      <c r="A588" s="118"/>
      <c r="B588" s="118"/>
      <c r="C588" s="118"/>
      <c r="D588" s="118"/>
      <c r="E588" s="118"/>
      <c r="F588" s="250"/>
      <c r="G588" s="250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</row>
    <row r="589" ht="15.75" customHeight="1">
      <c r="A589" s="118"/>
      <c r="B589" s="118"/>
      <c r="C589" s="118"/>
      <c r="D589" s="118"/>
      <c r="E589" s="118"/>
      <c r="F589" s="250"/>
      <c r="G589" s="250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</row>
    <row r="590" ht="15.75" customHeight="1">
      <c r="A590" s="118"/>
      <c r="B590" s="118"/>
      <c r="C590" s="118"/>
      <c r="D590" s="118"/>
      <c r="E590" s="118"/>
      <c r="F590" s="250"/>
      <c r="G590" s="250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</row>
    <row r="591" ht="15.75" customHeight="1">
      <c r="A591" s="118"/>
      <c r="B591" s="118"/>
      <c r="C591" s="118"/>
      <c r="D591" s="118"/>
      <c r="E591" s="118"/>
      <c r="F591" s="250"/>
      <c r="G591" s="250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</row>
    <row r="592" ht="15.75" customHeight="1">
      <c r="A592" s="118"/>
      <c r="B592" s="118"/>
      <c r="C592" s="118"/>
      <c r="D592" s="118"/>
      <c r="E592" s="118"/>
      <c r="F592" s="250"/>
      <c r="G592" s="250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</row>
    <row r="593" ht="15.75" customHeight="1">
      <c r="A593" s="118"/>
      <c r="B593" s="118"/>
      <c r="C593" s="118"/>
      <c r="D593" s="118"/>
      <c r="E593" s="118"/>
      <c r="F593" s="250"/>
      <c r="G593" s="250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</row>
    <row r="594" ht="15.75" customHeight="1">
      <c r="A594" s="118"/>
      <c r="B594" s="118"/>
      <c r="C594" s="118"/>
      <c r="D594" s="118"/>
      <c r="E594" s="118"/>
      <c r="F594" s="250"/>
      <c r="G594" s="250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</row>
    <row r="595" ht="15.75" customHeight="1">
      <c r="A595" s="118"/>
      <c r="B595" s="118"/>
      <c r="C595" s="118"/>
      <c r="D595" s="118"/>
      <c r="E595" s="118"/>
      <c r="F595" s="250"/>
      <c r="G595" s="250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</row>
    <row r="596" ht="15.75" customHeight="1">
      <c r="A596" s="118"/>
      <c r="B596" s="118"/>
      <c r="C596" s="118"/>
      <c r="D596" s="118"/>
      <c r="E596" s="118"/>
      <c r="F596" s="250"/>
      <c r="G596" s="250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</row>
    <row r="597" ht="15.75" customHeight="1">
      <c r="A597" s="118"/>
      <c r="B597" s="118"/>
      <c r="C597" s="118"/>
      <c r="D597" s="118"/>
      <c r="E597" s="118"/>
      <c r="F597" s="250"/>
      <c r="G597" s="250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</row>
    <row r="598" ht="15.75" customHeight="1">
      <c r="A598" s="118"/>
      <c r="B598" s="118"/>
      <c r="C598" s="118"/>
      <c r="D598" s="118"/>
      <c r="E598" s="118"/>
      <c r="F598" s="250"/>
      <c r="G598" s="250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</row>
    <row r="599" ht="15.75" customHeight="1">
      <c r="A599" s="118"/>
      <c r="B599" s="118"/>
      <c r="C599" s="118"/>
      <c r="D599" s="118"/>
      <c r="E599" s="118"/>
      <c r="F599" s="250"/>
      <c r="G599" s="250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</row>
    <row r="600" ht="15.75" customHeight="1">
      <c r="A600" s="118"/>
      <c r="B600" s="118"/>
      <c r="C600" s="118"/>
      <c r="D600" s="118"/>
      <c r="E600" s="118"/>
      <c r="F600" s="250"/>
      <c r="G600" s="250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</row>
    <row r="601" ht="15.75" customHeight="1">
      <c r="A601" s="118"/>
      <c r="B601" s="118"/>
      <c r="C601" s="118"/>
      <c r="D601" s="118"/>
      <c r="E601" s="118"/>
      <c r="F601" s="250"/>
      <c r="G601" s="250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</row>
    <row r="602" ht="15.75" customHeight="1">
      <c r="A602" s="118"/>
      <c r="B602" s="118"/>
      <c r="C602" s="118"/>
      <c r="D602" s="118"/>
      <c r="E602" s="118"/>
      <c r="F602" s="250"/>
      <c r="G602" s="250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</row>
    <row r="603" ht="15.75" customHeight="1">
      <c r="A603" s="118"/>
      <c r="B603" s="118"/>
      <c r="C603" s="118"/>
      <c r="D603" s="118"/>
      <c r="E603" s="118"/>
      <c r="F603" s="250"/>
      <c r="G603" s="250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</row>
    <row r="604" ht="15.75" customHeight="1">
      <c r="A604" s="118"/>
      <c r="B604" s="118"/>
      <c r="C604" s="118"/>
      <c r="D604" s="118"/>
      <c r="E604" s="118"/>
      <c r="F604" s="250"/>
      <c r="G604" s="250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</row>
    <row r="605" ht="15.75" customHeight="1">
      <c r="A605" s="118"/>
      <c r="B605" s="118"/>
      <c r="C605" s="118"/>
      <c r="D605" s="118"/>
      <c r="E605" s="118"/>
      <c r="F605" s="250"/>
      <c r="G605" s="250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</row>
    <row r="606" ht="15.75" customHeight="1">
      <c r="A606" s="118"/>
      <c r="B606" s="118"/>
      <c r="C606" s="118"/>
      <c r="D606" s="118"/>
      <c r="E606" s="118"/>
      <c r="F606" s="250"/>
      <c r="G606" s="250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</row>
    <row r="607" ht="15.75" customHeight="1">
      <c r="A607" s="118"/>
      <c r="B607" s="118"/>
      <c r="C607" s="118"/>
      <c r="D607" s="118"/>
      <c r="E607" s="118"/>
      <c r="F607" s="250"/>
      <c r="G607" s="250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</row>
    <row r="608" ht="15.75" customHeight="1">
      <c r="A608" s="118"/>
      <c r="B608" s="118"/>
      <c r="C608" s="118"/>
      <c r="D608" s="118"/>
      <c r="E608" s="118"/>
      <c r="F608" s="250"/>
      <c r="G608" s="250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</row>
    <row r="609" ht="15.75" customHeight="1">
      <c r="A609" s="118"/>
      <c r="B609" s="118"/>
      <c r="C609" s="118"/>
      <c r="D609" s="118"/>
      <c r="E609" s="118"/>
      <c r="F609" s="250"/>
      <c r="G609" s="250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</row>
    <row r="610" ht="15.75" customHeight="1">
      <c r="A610" s="118"/>
      <c r="B610" s="118"/>
      <c r="C610" s="118"/>
      <c r="D610" s="118"/>
      <c r="E610" s="118"/>
      <c r="F610" s="250"/>
      <c r="G610" s="250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</row>
    <row r="611" ht="15.75" customHeight="1">
      <c r="A611" s="118"/>
      <c r="B611" s="118"/>
      <c r="C611" s="118"/>
      <c r="D611" s="118"/>
      <c r="E611" s="118"/>
      <c r="F611" s="250"/>
      <c r="G611" s="250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</row>
    <row r="612" ht="15.75" customHeight="1">
      <c r="A612" s="118"/>
      <c r="B612" s="118"/>
      <c r="C612" s="118"/>
      <c r="D612" s="118"/>
      <c r="E612" s="118"/>
      <c r="F612" s="250"/>
      <c r="G612" s="250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</row>
    <row r="613" ht="15.75" customHeight="1">
      <c r="A613" s="118"/>
      <c r="B613" s="118"/>
      <c r="C613" s="118"/>
      <c r="D613" s="118"/>
      <c r="E613" s="118"/>
      <c r="F613" s="250"/>
      <c r="G613" s="250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</row>
    <row r="614" ht="15.75" customHeight="1">
      <c r="A614" s="118"/>
      <c r="B614" s="118"/>
      <c r="C614" s="118"/>
      <c r="D614" s="118"/>
      <c r="E614" s="118"/>
      <c r="F614" s="250"/>
      <c r="G614" s="250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</row>
    <row r="615" ht="15.75" customHeight="1">
      <c r="A615" s="118"/>
      <c r="B615" s="118"/>
      <c r="C615" s="118"/>
      <c r="D615" s="118"/>
      <c r="E615" s="118"/>
      <c r="F615" s="250"/>
      <c r="G615" s="250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</row>
    <row r="616" ht="15.75" customHeight="1">
      <c r="A616" s="118"/>
      <c r="B616" s="118"/>
      <c r="C616" s="118"/>
      <c r="D616" s="118"/>
      <c r="E616" s="118"/>
      <c r="F616" s="250"/>
      <c r="G616" s="250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</row>
    <row r="617" ht="15.75" customHeight="1">
      <c r="A617" s="118"/>
      <c r="B617" s="118"/>
      <c r="C617" s="118"/>
      <c r="D617" s="118"/>
      <c r="E617" s="118"/>
      <c r="F617" s="250"/>
      <c r="G617" s="250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</row>
    <row r="618" ht="15.75" customHeight="1">
      <c r="A618" s="118"/>
      <c r="B618" s="118"/>
      <c r="C618" s="118"/>
      <c r="D618" s="118"/>
      <c r="E618" s="118"/>
      <c r="F618" s="250"/>
      <c r="G618" s="250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</row>
    <row r="619" ht="15.75" customHeight="1">
      <c r="A619" s="118"/>
      <c r="B619" s="118"/>
      <c r="C619" s="118"/>
      <c r="D619" s="118"/>
      <c r="E619" s="118"/>
      <c r="F619" s="250"/>
      <c r="G619" s="250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</row>
    <row r="620" ht="15.75" customHeight="1">
      <c r="A620" s="118"/>
      <c r="B620" s="118"/>
      <c r="C620" s="118"/>
      <c r="D620" s="118"/>
      <c r="E620" s="118"/>
      <c r="F620" s="250"/>
      <c r="G620" s="250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</row>
    <row r="621" ht="15.75" customHeight="1">
      <c r="A621" s="118"/>
      <c r="B621" s="118"/>
      <c r="C621" s="118"/>
      <c r="D621" s="118"/>
      <c r="E621" s="118"/>
      <c r="F621" s="250"/>
      <c r="G621" s="250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</row>
    <row r="622" ht="15.75" customHeight="1">
      <c r="A622" s="118"/>
      <c r="B622" s="118"/>
      <c r="C622" s="118"/>
      <c r="D622" s="118"/>
      <c r="E622" s="118"/>
      <c r="F622" s="250"/>
      <c r="G622" s="250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</row>
    <row r="623" ht="15.75" customHeight="1">
      <c r="A623" s="118"/>
      <c r="B623" s="118"/>
      <c r="C623" s="118"/>
      <c r="D623" s="118"/>
      <c r="E623" s="118"/>
      <c r="F623" s="250"/>
      <c r="G623" s="250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</row>
    <row r="624" ht="15.75" customHeight="1">
      <c r="A624" s="118"/>
      <c r="B624" s="118"/>
      <c r="C624" s="118"/>
      <c r="D624" s="118"/>
      <c r="E624" s="118"/>
      <c r="F624" s="250"/>
      <c r="G624" s="250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</row>
    <row r="625" ht="15.75" customHeight="1">
      <c r="A625" s="118"/>
      <c r="B625" s="118"/>
      <c r="C625" s="118"/>
      <c r="D625" s="118"/>
      <c r="E625" s="118"/>
      <c r="F625" s="250"/>
      <c r="G625" s="250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</row>
    <row r="626" ht="15.75" customHeight="1">
      <c r="A626" s="118"/>
      <c r="B626" s="118"/>
      <c r="C626" s="118"/>
      <c r="D626" s="118"/>
      <c r="E626" s="118"/>
      <c r="F626" s="250"/>
      <c r="G626" s="250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</row>
    <row r="627" ht="15.75" customHeight="1">
      <c r="A627" s="118"/>
      <c r="B627" s="118"/>
      <c r="C627" s="118"/>
      <c r="D627" s="118"/>
      <c r="E627" s="118"/>
      <c r="F627" s="250"/>
      <c r="G627" s="250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</row>
    <row r="628" ht="15.75" customHeight="1">
      <c r="A628" s="118"/>
      <c r="B628" s="118"/>
      <c r="C628" s="118"/>
      <c r="D628" s="118"/>
      <c r="E628" s="118"/>
      <c r="F628" s="250"/>
      <c r="G628" s="250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</row>
    <row r="629" ht="15.75" customHeight="1">
      <c r="A629" s="118"/>
      <c r="B629" s="118"/>
      <c r="C629" s="118"/>
      <c r="D629" s="118"/>
      <c r="E629" s="118"/>
      <c r="F629" s="250"/>
      <c r="G629" s="250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</row>
    <row r="630" ht="15.75" customHeight="1">
      <c r="A630" s="118"/>
      <c r="B630" s="118"/>
      <c r="C630" s="118"/>
      <c r="D630" s="118"/>
      <c r="E630" s="118"/>
      <c r="F630" s="250"/>
      <c r="G630" s="250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</row>
    <row r="631" ht="15.75" customHeight="1">
      <c r="A631" s="118"/>
      <c r="B631" s="118"/>
      <c r="C631" s="118"/>
      <c r="D631" s="118"/>
      <c r="E631" s="118"/>
      <c r="F631" s="250"/>
      <c r="G631" s="250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</row>
    <row r="632" ht="15.75" customHeight="1">
      <c r="A632" s="118"/>
      <c r="B632" s="118"/>
      <c r="C632" s="118"/>
      <c r="D632" s="118"/>
      <c r="E632" s="118"/>
      <c r="F632" s="250"/>
      <c r="G632" s="250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</row>
    <row r="633" ht="15.75" customHeight="1">
      <c r="A633" s="118"/>
      <c r="B633" s="118"/>
      <c r="C633" s="118"/>
      <c r="D633" s="118"/>
      <c r="E633" s="118"/>
      <c r="F633" s="250"/>
      <c r="G633" s="250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</row>
    <row r="634" ht="15.75" customHeight="1">
      <c r="A634" s="118"/>
      <c r="B634" s="118"/>
      <c r="C634" s="118"/>
      <c r="D634" s="118"/>
      <c r="E634" s="118"/>
      <c r="F634" s="250"/>
      <c r="G634" s="250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</row>
    <row r="635" ht="15.75" customHeight="1">
      <c r="A635" s="118"/>
      <c r="B635" s="118"/>
      <c r="C635" s="118"/>
      <c r="D635" s="118"/>
      <c r="E635" s="118"/>
      <c r="F635" s="250"/>
      <c r="G635" s="250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</row>
    <row r="636" ht="15.75" customHeight="1">
      <c r="A636" s="118"/>
      <c r="B636" s="118"/>
      <c r="C636" s="118"/>
      <c r="D636" s="118"/>
      <c r="E636" s="118"/>
      <c r="F636" s="250"/>
      <c r="G636" s="250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</row>
    <row r="637" ht="15.75" customHeight="1">
      <c r="A637" s="118"/>
      <c r="B637" s="118"/>
      <c r="C637" s="118"/>
      <c r="D637" s="118"/>
      <c r="E637" s="118"/>
      <c r="F637" s="250"/>
      <c r="G637" s="250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</row>
    <row r="638" ht="15.75" customHeight="1">
      <c r="A638" s="118"/>
      <c r="B638" s="118"/>
      <c r="C638" s="118"/>
      <c r="D638" s="118"/>
      <c r="E638" s="118"/>
      <c r="F638" s="250"/>
      <c r="G638" s="250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</row>
    <row r="639" ht="15.75" customHeight="1">
      <c r="A639" s="118"/>
      <c r="B639" s="118"/>
      <c r="C639" s="118"/>
      <c r="D639" s="118"/>
      <c r="E639" s="118"/>
      <c r="F639" s="250"/>
      <c r="G639" s="250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</row>
    <row r="640" ht="15.75" customHeight="1">
      <c r="A640" s="118"/>
      <c r="B640" s="118"/>
      <c r="C640" s="118"/>
      <c r="D640" s="118"/>
      <c r="E640" s="118"/>
      <c r="F640" s="250"/>
      <c r="G640" s="250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</row>
    <row r="641" ht="15.75" customHeight="1">
      <c r="A641" s="118"/>
      <c r="B641" s="118"/>
      <c r="C641" s="118"/>
      <c r="D641" s="118"/>
      <c r="E641" s="118"/>
      <c r="F641" s="250"/>
      <c r="G641" s="250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</row>
    <row r="642" ht="15.75" customHeight="1">
      <c r="A642" s="118"/>
      <c r="B642" s="118"/>
      <c r="C642" s="118"/>
      <c r="D642" s="118"/>
      <c r="E642" s="118"/>
      <c r="F642" s="250"/>
      <c r="G642" s="250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</row>
    <row r="643" ht="15.75" customHeight="1">
      <c r="A643" s="118"/>
      <c r="B643" s="118"/>
      <c r="C643" s="118"/>
      <c r="D643" s="118"/>
      <c r="E643" s="118"/>
      <c r="F643" s="250"/>
      <c r="G643" s="250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</row>
    <row r="644" ht="15.75" customHeight="1">
      <c r="A644" s="118"/>
      <c r="B644" s="118"/>
      <c r="C644" s="118"/>
      <c r="D644" s="118"/>
      <c r="E644" s="118"/>
      <c r="F644" s="250"/>
      <c r="G644" s="250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</row>
    <row r="645" ht="15.75" customHeight="1">
      <c r="A645" s="118"/>
      <c r="B645" s="118"/>
      <c r="C645" s="118"/>
      <c r="D645" s="118"/>
      <c r="E645" s="118"/>
      <c r="F645" s="250"/>
      <c r="G645" s="250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</row>
    <row r="646" ht="15.75" customHeight="1">
      <c r="A646" s="118"/>
      <c r="B646" s="118"/>
      <c r="C646" s="118"/>
      <c r="D646" s="118"/>
      <c r="E646" s="118"/>
      <c r="F646" s="250"/>
      <c r="G646" s="250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</row>
    <row r="647" ht="15.75" customHeight="1">
      <c r="A647" s="118"/>
      <c r="B647" s="118"/>
      <c r="C647" s="118"/>
      <c r="D647" s="118"/>
      <c r="E647" s="118"/>
      <c r="F647" s="250"/>
      <c r="G647" s="250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</row>
    <row r="648" ht="15.75" customHeight="1">
      <c r="A648" s="118"/>
      <c r="B648" s="118"/>
      <c r="C648" s="118"/>
      <c r="D648" s="118"/>
      <c r="E648" s="118"/>
      <c r="F648" s="250"/>
      <c r="G648" s="250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</row>
    <row r="649" ht="15.75" customHeight="1">
      <c r="A649" s="118"/>
      <c r="B649" s="118"/>
      <c r="C649" s="118"/>
      <c r="D649" s="118"/>
      <c r="E649" s="118"/>
      <c r="F649" s="250"/>
      <c r="G649" s="250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</row>
    <row r="650" ht="15.75" customHeight="1">
      <c r="A650" s="118"/>
      <c r="B650" s="118"/>
      <c r="C650" s="118"/>
      <c r="D650" s="118"/>
      <c r="E650" s="118"/>
      <c r="F650" s="250"/>
      <c r="G650" s="250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</row>
    <row r="651" ht="15.75" customHeight="1">
      <c r="A651" s="118"/>
      <c r="B651" s="118"/>
      <c r="C651" s="118"/>
      <c r="D651" s="118"/>
      <c r="E651" s="118"/>
      <c r="F651" s="250"/>
      <c r="G651" s="250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</row>
    <row r="652" ht="15.75" customHeight="1">
      <c r="A652" s="118"/>
      <c r="B652" s="118"/>
      <c r="C652" s="118"/>
      <c r="D652" s="118"/>
      <c r="E652" s="118"/>
      <c r="F652" s="250"/>
      <c r="G652" s="250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</row>
    <row r="653" ht="15.75" customHeight="1">
      <c r="A653" s="118"/>
      <c r="B653" s="118"/>
      <c r="C653" s="118"/>
      <c r="D653" s="118"/>
      <c r="E653" s="118"/>
      <c r="F653" s="250"/>
      <c r="G653" s="250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</row>
    <row r="654" ht="15.75" customHeight="1">
      <c r="A654" s="118"/>
      <c r="B654" s="118"/>
      <c r="C654" s="118"/>
      <c r="D654" s="118"/>
      <c r="E654" s="118"/>
      <c r="F654" s="250"/>
      <c r="G654" s="250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</row>
    <row r="655" ht="15.75" customHeight="1">
      <c r="A655" s="118"/>
      <c r="B655" s="118"/>
      <c r="C655" s="118"/>
      <c r="D655" s="118"/>
      <c r="E655" s="118"/>
      <c r="F655" s="250"/>
      <c r="G655" s="250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</row>
    <row r="656" ht="15.75" customHeight="1">
      <c r="A656" s="118"/>
      <c r="B656" s="118"/>
      <c r="C656" s="118"/>
      <c r="D656" s="118"/>
      <c r="E656" s="118"/>
      <c r="F656" s="250"/>
      <c r="G656" s="250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</row>
    <row r="657" ht="15.75" customHeight="1">
      <c r="A657" s="118"/>
      <c r="B657" s="118"/>
      <c r="C657" s="118"/>
      <c r="D657" s="118"/>
      <c r="E657" s="118"/>
      <c r="F657" s="250"/>
      <c r="G657" s="250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</row>
    <row r="658" ht="15.75" customHeight="1">
      <c r="A658" s="118"/>
      <c r="B658" s="118"/>
      <c r="C658" s="118"/>
      <c r="D658" s="118"/>
      <c r="E658" s="118"/>
      <c r="F658" s="250"/>
      <c r="G658" s="250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</row>
    <row r="659" ht="15.75" customHeight="1">
      <c r="A659" s="118"/>
      <c r="B659" s="118"/>
      <c r="C659" s="118"/>
      <c r="D659" s="118"/>
      <c r="E659" s="118"/>
      <c r="F659" s="250"/>
      <c r="G659" s="250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</row>
    <row r="660" ht="15.75" customHeight="1">
      <c r="A660" s="118"/>
      <c r="B660" s="118"/>
      <c r="C660" s="118"/>
      <c r="D660" s="118"/>
      <c r="E660" s="118"/>
      <c r="F660" s="250"/>
      <c r="G660" s="250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</row>
    <row r="661" ht="15.75" customHeight="1">
      <c r="A661" s="118"/>
      <c r="B661" s="118"/>
      <c r="C661" s="118"/>
      <c r="D661" s="118"/>
      <c r="E661" s="118"/>
      <c r="F661" s="250"/>
      <c r="G661" s="250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</row>
    <row r="662" ht="15.75" customHeight="1">
      <c r="A662" s="118"/>
      <c r="B662" s="118"/>
      <c r="C662" s="118"/>
      <c r="D662" s="118"/>
      <c r="E662" s="118"/>
      <c r="F662" s="250"/>
      <c r="G662" s="250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</row>
    <row r="663" ht="15.75" customHeight="1">
      <c r="A663" s="118"/>
      <c r="B663" s="118"/>
      <c r="C663" s="118"/>
      <c r="D663" s="118"/>
      <c r="E663" s="118"/>
      <c r="F663" s="250"/>
      <c r="G663" s="250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</row>
    <row r="664" ht="15.75" customHeight="1">
      <c r="A664" s="118"/>
      <c r="B664" s="118"/>
      <c r="C664" s="118"/>
      <c r="D664" s="118"/>
      <c r="E664" s="118"/>
      <c r="F664" s="250"/>
      <c r="G664" s="250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</row>
    <row r="665" ht="15.75" customHeight="1">
      <c r="A665" s="118"/>
      <c r="B665" s="118"/>
      <c r="C665" s="118"/>
      <c r="D665" s="118"/>
      <c r="E665" s="118"/>
      <c r="F665" s="250"/>
      <c r="G665" s="250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</row>
    <row r="666" ht="15.75" customHeight="1">
      <c r="A666" s="118"/>
      <c r="B666" s="118"/>
      <c r="C666" s="118"/>
      <c r="D666" s="118"/>
      <c r="E666" s="118"/>
      <c r="F666" s="250"/>
      <c r="G666" s="250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</row>
    <row r="667" ht="15.75" customHeight="1">
      <c r="A667" s="118"/>
      <c r="B667" s="118"/>
      <c r="C667" s="118"/>
      <c r="D667" s="118"/>
      <c r="E667" s="118"/>
      <c r="F667" s="250"/>
      <c r="G667" s="250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</row>
    <row r="668" ht="15.75" customHeight="1">
      <c r="A668" s="118"/>
      <c r="B668" s="118"/>
      <c r="C668" s="118"/>
      <c r="D668" s="118"/>
      <c r="E668" s="118"/>
      <c r="F668" s="250"/>
      <c r="G668" s="250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</row>
    <row r="669" ht="15.75" customHeight="1">
      <c r="A669" s="118"/>
      <c r="B669" s="118"/>
      <c r="C669" s="118"/>
      <c r="D669" s="118"/>
      <c r="E669" s="118"/>
      <c r="F669" s="250"/>
      <c r="G669" s="250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</row>
    <row r="670" ht="15.75" customHeight="1">
      <c r="A670" s="118"/>
      <c r="B670" s="118"/>
      <c r="C670" s="118"/>
      <c r="D670" s="118"/>
      <c r="E670" s="118"/>
      <c r="F670" s="250"/>
      <c r="G670" s="250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</row>
    <row r="671" ht="15.75" customHeight="1">
      <c r="A671" s="118"/>
      <c r="B671" s="118"/>
      <c r="C671" s="118"/>
      <c r="D671" s="118"/>
      <c r="E671" s="118"/>
      <c r="F671" s="250"/>
      <c r="G671" s="250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</row>
    <row r="672" ht="15.75" customHeight="1">
      <c r="A672" s="118"/>
      <c r="B672" s="118"/>
      <c r="C672" s="118"/>
      <c r="D672" s="118"/>
      <c r="E672" s="118"/>
      <c r="F672" s="250"/>
      <c r="G672" s="250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</row>
    <row r="673" ht="15.75" customHeight="1">
      <c r="A673" s="118"/>
      <c r="B673" s="118"/>
      <c r="C673" s="118"/>
      <c r="D673" s="118"/>
      <c r="E673" s="118"/>
      <c r="F673" s="250"/>
      <c r="G673" s="250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</row>
    <row r="674" ht="15.75" customHeight="1">
      <c r="A674" s="118"/>
      <c r="B674" s="118"/>
      <c r="C674" s="118"/>
      <c r="D674" s="118"/>
      <c r="E674" s="118"/>
      <c r="F674" s="250"/>
      <c r="G674" s="250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</row>
    <row r="675" ht="15.75" customHeight="1">
      <c r="A675" s="118"/>
      <c r="B675" s="118"/>
      <c r="C675" s="118"/>
      <c r="D675" s="118"/>
      <c r="E675" s="118"/>
      <c r="F675" s="250"/>
      <c r="G675" s="250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</row>
    <row r="676" ht="15.75" customHeight="1">
      <c r="A676" s="118"/>
      <c r="B676" s="118"/>
      <c r="C676" s="118"/>
      <c r="D676" s="118"/>
      <c r="E676" s="118"/>
      <c r="F676" s="250"/>
      <c r="G676" s="250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</row>
    <row r="677" ht="15.75" customHeight="1">
      <c r="A677" s="118"/>
      <c r="B677" s="118"/>
      <c r="C677" s="118"/>
      <c r="D677" s="118"/>
      <c r="E677" s="118"/>
      <c r="F677" s="250"/>
      <c r="G677" s="250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</row>
    <row r="678" ht="15.75" customHeight="1">
      <c r="A678" s="118"/>
      <c r="B678" s="118"/>
      <c r="C678" s="118"/>
      <c r="D678" s="118"/>
      <c r="E678" s="118"/>
      <c r="F678" s="250"/>
      <c r="G678" s="250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</row>
    <row r="679" ht="15.75" customHeight="1">
      <c r="A679" s="118"/>
      <c r="B679" s="118"/>
      <c r="C679" s="118"/>
      <c r="D679" s="118"/>
      <c r="E679" s="118"/>
      <c r="F679" s="250"/>
      <c r="G679" s="250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</row>
    <row r="680" ht="15.75" customHeight="1">
      <c r="A680" s="118"/>
      <c r="B680" s="118"/>
      <c r="C680" s="118"/>
      <c r="D680" s="118"/>
      <c r="E680" s="118"/>
      <c r="F680" s="250"/>
      <c r="G680" s="250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</row>
    <row r="681" ht="15.75" customHeight="1">
      <c r="A681" s="118"/>
      <c r="B681" s="118"/>
      <c r="C681" s="118"/>
      <c r="D681" s="118"/>
      <c r="E681" s="118"/>
      <c r="F681" s="250"/>
      <c r="G681" s="250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</row>
    <row r="682" ht="15.75" customHeight="1">
      <c r="A682" s="118"/>
      <c r="B682" s="118"/>
      <c r="C682" s="118"/>
      <c r="D682" s="118"/>
      <c r="E682" s="118"/>
      <c r="F682" s="250"/>
      <c r="G682" s="250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</row>
    <row r="683" ht="15.75" customHeight="1">
      <c r="A683" s="118"/>
      <c r="B683" s="118"/>
      <c r="C683" s="118"/>
      <c r="D683" s="118"/>
      <c r="E683" s="118"/>
      <c r="F683" s="250"/>
      <c r="G683" s="250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</row>
    <row r="684" ht="15.75" customHeight="1">
      <c r="A684" s="118"/>
      <c r="B684" s="118"/>
      <c r="C684" s="118"/>
      <c r="D684" s="118"/>
      <c r="E684" s="118"/>
      <c r="F684" s="250"/>
      <c r="G684" s="250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</row>
    <row r="685" ht="15.75" customHeight="1">
      <c r="A685" s="118"/>
      <c r="B685" s="118"/>
      <c r="C685" s="118"/>
      <c r="D685" s="118"/>
      <c r="E685" s="118"/>
      <c r="F685" s="250"/>
      <c r="G685" s="250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</row>
    <row r="686" ht="15.75" customHeight="1">
      <c r="A686" s="118"/>
      <c r="B686" s="118"/>
      <c r="C686" s="118"/>
      <c r="D686" s="118"/>
      <c r="E686" s="118"/>
      <c r="F686" s="250"/>
      <c r="G686" s="250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</row>
    <row r="687" ht="15.75" customHeight="1">
      <c r="A687" s="118"/>
      <c r="B687" s="118"/>
      <c r="C687" s="118"/>
      <c r="D687" s="118"/>
      <c r="E687" s="118"/>
      <c r="F687" s="250"/>
      <c r="G687" s="250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</row>
    <row r="688" ht="15.75" customHeight="1">
      <c r="A688" s="118"/>
      <c r="B688" s="118"/>
      <c r="C688" s="118"/>
      <c r="D688" s="118"/>
      <c r="E688" s="118"/>
      <c r="F688" s="250"/>
      <c r="G688" s="250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</row>
    <row r="689" ht="15.75" customHeight="1">
      <c r="A689" s="118"/>
      <c r="B689" s="118"/>
      <c r="C689" s="118"/>
      <c r="D689" s="118"/>
      <c r="E689" s="118"/>
      <c r="F689" s="250"/>
      <c r="G689" s="250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</row>
    <row r="690" ht="15.75" customHeight="1">
      <c r="A690" s="118"/>
      <c r="B690" s="118"/>
      <c r="C690" s="118"/>
      <c r="D690" s="118"/>
      <c r="E690" s="118"/>
      <c r="F690" s="250"/>
      <c r="G690" s="250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</row>
    <row r="691" ht="15.75" customHeight="1">
      <c r="A691" s="118"/>
      <c r="B691" s="118"/>
      <c r="C691" s="118"/>
      <c r="D691" s="118"/>
      <c r="E691" s="118"/>
      <c r="F691" s="250"/>
      <c r="G691" s="250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</row>
    <row r="692" ht="15.75" customHeight="1">
      <c r="A692" s="118"/>
      <c r="B692" s="118"/>
      <c r="C692" s="118"/>
      <c r="D692" s="118"/>
      <c r="E692" s="118"/>
      <c r="F692" s="250"/>
      <c r="G692" s="250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</row>
    <row r="693" ht="15.75" customHeight="1">
      <c r="A693" s="118"/>
      <c r="B693" s="118"/>
      <c r="C693" s="118"/>
      <c r="D693" s="118"/>
      <c r="E693" s="118"/>
      <c r="F693" s="250"/>
      <c r="G693" s="250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</row>
    <row r="694" ht="15.75" customHeight="1">
      <c r="A694" s="118"/>
      <c r="B694" s="118"/>
      <c r="C694" s="118"/>
      <c r="D694" s="118"/>
      <c r="E694" s="118"/>
      <c r="F694" s="250"/>
      <c r="G694" s="250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</row>
    <row r="695" ht="15.75" customHeight="1">
      <c r="A695" s="118"/>
      <c r="B695" s="118"/>
      <c r="C695" s="118"/>
      <c r="D695" s="118"/>
      <c r="E695" s="118"/>
      <c r="F695" s="250"/>
      <c r="G695" s="250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</row>
    <row r="696" ht="15.75" customHeight="1">
      <c r="A696" s="118"/>
      <c r="B696" s="118"/>
      <c r="C696" s="118"/>
      <c r="D696" s="118"/>
      <c r="E696" s="118"/>
      <c r="F696" s="250"/>
      <c r="G696" s="250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</row>
    <row r="697" ht="15.75" customHeight="1">
      <c r="A697" s="118"/>
      <c r="B697" s="118"/>
      <c r="C697" s="118"/>
      <c r="D697" s="118"/>
      <c r="E697" s="118"/>
      <c r="F697" s="250"/>
      <c r="G697" s="250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</row>
    <row r="698" ht="15.75" customHeight="1">
      <c r="A698" s="118"/>
      <c r="B698" s="118"/>
      <c r="C698" s="118"/>
      <c r="D698" s="118"/>
      <c r="E698" s="118"/>
      <c r="F698" s="250"/>
      <c r="G698" s="250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</row>
    <row r="699" ht="15.75" customHeight="1">
      <c r="A699" s="118"/>
      <c r="B699" s="118"/>
      <c r="C699" s="118"/>
      <c r="D699" s="118"/>
      <c r="E699" s="118"/>
      <c r="F699" s="250"/>
      <c r="G699" s="250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</row>
    <row r="700" ht="15.75" customHeight="1">
      <c r="A700" s="118"/>
      <c r="B700" s="118"/>
      <c r="C700" s="118"/>
      <c r="D700" s="118"/>
      <c r="E700" s="118"/>
      <c r="F700" s="250"/>
      <c r="G700" s="250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</row>
    <row r="701" ht="15.75" customHeight="1">
      <c r="A701" s="118"/>
      <c r="B701" s="118"/>
      <c r="C701" s="118"/>
      <c r="D701" s="118"/>
      <c r="E701" s="118"/>
      <c r="F701" s="250"/>
      <c r="G701" s="250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</row>
    <row r="702" ht="15.75" customHeight="1">
      <c r="A702" s="118"/>
      <c r="B702" s="118"/>
      <c r="C702" s="118"/>
      <c r="D702" s="118"/>
      <c r="E702" s="118"/>
      <c r="F702" s="250"/>
      <c r="G702" s="250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</row>
    <row r="703" ht="15.75" customHeight="1">
      <c r="A703" s="118"/>
      <c r="B703" s="118"/>
      <c r="C703" s="118"/>
      <c r="D703" s="118"/>
      <c r="E703" s="118"/>
      <c r="F703" s="250"/>
      <c r="G703" s="250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</row>
    <row r="704" ht="15.75" customHeight="1">
      <c r="A704" s="118"/>
      <c r="B704" s="118"/>
      <c r="C704" s="118"/>
      <c r="D704" s="118"/>
      <c r="E704" s="118"/>
      <c r="F704" s="250"/>
      <c r="G704" s="250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</row>
    <row r="705" ht="15.75" customHeight="1">
      <c r="A705" s="118"/>
      <c r="B705" s="118"/>
      <c r="C705" s="118"/>
      <c r="D705" s="118"/>
      <c r="E705" s="118"/>
      <c r="F705" s="250"/>
      <c r="G705" s="250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</row>
    <row r="706" ht="15.75" customHeight="1">
      <c r="A706" s="118"/>
      <c r="B706" s="118"/>
      <c r="C706" s="118"/>
      <c r="D706" s="118"/>
      <c r="E706" s="118"/>
      <c r="F706" s="250"/>
      <c r="G706" s="250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</row>
    <row r="707" ht="15.75" customHeight="1">
      <c r="A707" s="118"/>
      <c r="B707" s="118"/>
      <c r="C707" s="118"/>
      <c r="D707" s="118"/>
      <c r="E707" s="118"/>
      <c r="F707" s="250"/>
      <c r="G707" s="250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</row>
    <row r="708" ht="15.75" customHeight="1">
      <c r="A708" s="118"/>
      <c r="B708" s="118"/>
      <c r="C708" s="118"/>
      <c r="D708" s="118"/>
      <c r="E708" s="118"/>
      <c r="F708" s="250"/>
      <c r="G708" s="250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</row>
    <row r="709" ht="15.75" customHeight="1">
      <c r="A709" s="118"/>
      <c r="B709" s="118"/>
      <c r="C709" s="118"/>
      <c r="D709" s="118"/>
      <c r="E709" s="118"/>
      <c r="F709" s="250"/>
      <c r="G709" s="250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</row>
    <row r="710" ht="15.75" customHeight="1">
      <c r="A710" s="118"/>
      <c r="B710" s="118"/>
      <c r="C710" s="118"/>
      <c r="D710" s="118"/>
      <c r="E710" s="118"/>
      <c r="F710" s="250"/>
      <c r="G710" s="250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</row>
    <row r="711" ht="15.75" customHeight="1">
      <c r="A711" s="118"/>
      <c r="B711" s="118"/>
      <c r="C711" s="118"/>
      <c r="D711" s="118"/>
      <c r="E711" s="118"/>
      <c r="F711" s="250"/>
      <c r="G711" s="250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</row>
    <row r="712" ht="15.75" customHeight="1">
      <c r="A712" s="118"/>
      <c r="B712" s="118"/>
      <c r="C712" s="118"/>
      <c r="D712" s="118"/>
      <c r="E712" s="118"/>
      <c r="F712" s="250"/>
      <c r="G712" s="250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</row>
    <row r="713" ht="15.75" customHeight="1">
      <c r="A713" s="118"/>
      <c r="B713" s="118"/>
      <c r="C713" s="118"/>
      <c r="D713" s="118"/>
      <c r="E713" s="118"/>
      <c r="F713" s="250"/>
      <c r="G713" s="250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</row>
    <row r="714" ht="15.75" customHeight="1">
      <c r="A714" s="118"/>
      <c r="B714" s="118"/>
      <c r="C714" s="118"/>
      <c r="D714" s="118"/>
      <c r="E714" s="118"/>
      <c r="F714" s="250"/>
      <c r="G714" s="250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</row>
    <row r="715" ht="15.75" customHeight="1">
      <c r="A715" s="118"/>
      <c r="B715" s="118"/>
      <c r="C715" s="118"/>
      <c r="D715" s="118"/>
      <c r="E715" s="118"/>
      <c r="F715" s="250"/>
      <c r="G715" s="250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</row>
    <row r="716" ht="15.75" customHeight="1">
      <c r="A716" s="118"/>
      <c r="B716" s="118"/>
      <c r="C716" s="118"/>
      <c r="D716" s="118"/>
      <c r="E716" s="118"/>
      <c r="F716" s="250"/>
      <c r="G716" s="250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</row>
    <row r="717" ht="15.75" customHeight="1">
      <c r="A717" s="118"/>
      <c r="B717" s="118"/>
      <c r="C717" s="118"/>
      <c r="D717" s="118"/>
      <c r="E717" s="118"/>
      <c r="F717" s="250"/>
      <c r="G717" s="250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</row>
    <row r="718" ht="15.75" customHeight="1">
      <c r="A718" s="118"/>
      <c r="B718" s="118"/>
      <c r="C718" s="118"/>
      <c r="D718" s="118"/>
      <c r="E718" s="118"/>
      <c r="F718" s="250"/>
      <c r="G718" s="250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</row>
    <row r="719" ht="15.75" customHeight="1">
      <c r="A719" s="118"/>
      <c r="B719" s="118"/>
      <c r="C719" s="118"/>
      <c r="D719" s="118"/>
      <c r="E719" s="118"/>
      <c r="F719" s="250"/>
      <c r="G719" s="250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</row>
    <row r="720" ht="15.75" customHeight="1">
      <c r="A720" s="118"/>
      <c r="B720" s="118"/>
      <c r="C720" s="118"/>
      <c r="D720" s="118"/>
      <c r="E720" s="118"/>
      <c r="F720" s="250"/>
      <c r="G720" s="250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</row>
    <row r="721" ht="15.75" customHeight="1">
      <c r="A721" s="118"/>
      <c r="B721" s="118"/>
      <c r="C721" s="118"/>
      <c r="D721" s="118"/>
      <c r="E721" s="118"/>
      <c r="F721" s="250"/>
      <c r="G721" s="250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</row>
    <row r="722" ht="15.75" customHeight="1">
      <c r="A722" s="118"/>
      <c r="B722" s="118"/>
      <c r="C722" s="118"/>
      <c r="D722" s="118"/>
      <c r="E722" s="118"/>
      <c r="F722" s="250"/>
      <c r="G722" s="250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</row>
    <row r="723" ht="15.75" customHeight="1">
      <c r="A723" s="118"/>
      <c r="B723" s="118"/>
      <c r="C723" s="118"/>
      <c r="D723" s="118"/>
      <c r="E723" s="118"/>
      <c r="F723" s="250"/>
      <c r="G723" s="250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</row>
    <row r="724" ht="15.75" customHeight="1">
      <c r="A724" s="118"/>
      <c r="B724" s="118"/>
      <c r="C724" s="118"/>
      <c r="D724" s="118"/>
      <c r="E724" s="118"/>
      <c r="F724" s="250"/>
      <c r="G724" s="250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</row>
    <row r="725" ht="15.75" customHeight="1">
      <c r="A725" s="118"/>
      <c r="B725" s="118"/>
      <c r="C725" s="118"/>
      <c r="D725" s="118"/>
      <c r="E725" s="118"/>
      <c r="F725" s="250"/>
      <c r="G725" s="250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</row>
    <row r="726" ht="15.75" customHeight="1">
      <c r="A726" s="118"/>
      <c r="B726" s="118"/>
      <c r="C726" s="118"/>
      <c r="D726" s="118"/>
      <c r="E726" s="118"/>
      <c r="F726" s="250"/>
      <c r="G726" s="250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</row>
    <row r="727" ht="15.75" customHeight="1">
      <c r="A727" s="118"/>
      <c r="B727" s="118"/>
      <c r="C727" s="118"/>
      <c r="D727" s="118"/>
      <c r="E727" s="118"/>
      <c r="F727" s="250"/>
      <c r="G727" s="250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</row>
    <row r="728" ht="15.75" customHeight="1">
      <c r="A728" s="118"/>
      <c r="B728" s="118"/>
      <c r="C728" s="118"/>
      <c r="D728" s="118"/>
      <c r="E728" s="118"/>
      <c r="F728" s="250"/>
      <c r="G728" s="250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</row>
    <row r="729" ht="15.75" customHeight="1">
      <c r="A729" s="118"/>
      <c r="B729" s="118"/>
      <c r="C729" s="118"/>
      <c r="D729" s="118"/>
      <c r="E729" s="118"/>
      <c r="F729" s="250"/>
      <c r="G729" s="250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</row>
    <row r="730" ht="15.75" customHeight="1">
      <c r="A730" s="118"/>
      <c r="B730" s="118"/>
      <c r="C730" s="118"/>
      <c r="D730" s="118"/>
      <c r="E730" s="118"/>
      <c r="F730" s="250"/>
      <c r="G730" s="250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</row>
    <row r="731" ht="15.75" customHeight="1">
      <c r="A731" s="118"/>
      <c r="B731" s="118"/>
      <c r="C731" s="118"/>
      <c r="D731" s="118"/>
      <c r="E731" s="118"/>
      <c r="F731" s="250"/>
      <c r="G731" s="250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</row>
    <row r="732" ht="15.75" customHeight="1">
      <c r="A732" s="118"/>
      <c r="B732" s="118"/>
      <c r="C732" s="118"/>
      <c r="D732" s="118"/>
      <c r="E732" s="118"/>
      <c r="F732" s="250"/>
      <c r="G732" s="250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</row>
    <row r="733" ht="15.75" customHeight="1">
      <c r="A733" s="118"/>
      <c r="B733" s="118"/>
      <c r="C733" s="118"/>
      <c r="D733" s="118"/>
      <c r="E733" s="118"/>
      <c r="F733" s="250"/>
      <c r="G733" s="250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</row>
    <row r="734" ht="15.75" customHeight="1">
      <c r="A734" s="118"/>
      <c r="B734" s="118"/>
      <c r="C734" s="118"/>
      <c r="D734" s="118"/>
      <c r="E734" s="118"/>
      <c r="F734" s="250"/>
      <c r="G734" s="250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</row>
    <row r="735" ht="15.75" customHeight="1">
      <c r="A735" s="118"/>
      <c r="B735" s="118"/>
      <c r="C735" s="118"/>
      <c r="D735" s="118"/>
      <c r="E735" s="118"/>
      <c r="F735" s="250"/>
      <c r="G735" s="250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</row>
    <row r="736" ht="15.75" customHeight="1">
      <c r="A736" s="118"/>
      <c r="B736" s="118"/>
      <c r="C736" s="118"/>
      <c r="D736" s="118"/>
      <c r="E736" s="118"/>
      <c r="F736" s="250"/>
      <c r="G736" s="250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</row>
    <row r="737" ht="15.75" customHeight="1">
      <c r="A737" s="118"/>
      <c r="B737" s="118"/>
      <c r="C737" s="118"/>
      <c r="D737" s="118"/>
      <c r="E737" s="118"/>
      <c r="F737" s="250"/>
      <c r="G737" s="250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</row>
    <row r="738" ht="15.75" customHeight="1">
      <c r="A738" s="118"/>
      <c r="B738" s="118"/>
      <c r="C738" s="118"/>
      <c r="D738" s="118"/>
      <c r="E738" s="118"/>
      <c r="F738" s="250"/>
      <c r="G738" s="250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</row>
    <row r="739" ht="15.75" customHeight="1">
      <c r="A739" s="118"/>
      <c r="B739" s="118"/>
      <c r="C739" s="118"/>
      <c r="D739" s="118"/>
      <c r="E739" s="118"/>
      <c r="F739" s="250"/>
      <c r="G739" s="250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</row>
    <row r="740" ht="15.75" customHeight="1">
      <c r="A740" s="118"/>
      <c r="B740" s="118"/>
      <c r="C740" s="118"/>
      <c r="D740" s="118"/>
      <c r="E740" s="118"/>
      <c r="F740" s="250"/>
      <c r="G740" s="250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</row>
    <row r="741" ht="15.75" customHeight="1">
      <c r="A741" s="118"/>
      <c r="B741" s="118"/>
      <c r="C741" s="118"/>
      <c r="D741" s="118"/>
      <c r="E741" s="118"/>
      <c r="F741" s="250"/>
      <c r="G741" s="250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</row>
    <row r="742" ht="15.75" customHeight="1">
      <c r="A742" s="118"/>
      <c r="B742" s="118"/>
      <c r="C742" s="118"/>
      <c r="D742" s="118"/>
      <c r="E742" s="118"/>
      <c r="F742" s="250"/>
      <c r="G742" s="250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</row>
    <row r="743" ht="15.75" customHeight="1">
      <c r="A743" s="118"/>
      <c r="B743" s="118"/>
      <c r="C743" s="118"/>
      <c r="D743" s="118"/>
      <c r="E743" s="118"/>
      <c r="F743" s="250"/>
      <c r="G743" s="250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</row>
    <row r="744" ht="15.75" customHeight="1">
      <c r="A744" s="118"/>
      <c r="B744" s="118"/>
      <c r="C744" s="118"/>
      <c r="D744" s="118"/>
      <c r="E744" s="118"/>
      <c r="F744" s="250"/>
      <c r="G744" s="250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</row>
    <row r="745" ht="15.75" customHeight="1">
      <c r="A745" s="118"/>
      <c r="B745" s="118"/>
      <c r="C745" s="118"/>
      <c r="D745" s="118"/>
      <c r="E745" s="118"/>
      <c r="F745" s="250"/>
      <c r="G745" s="250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</row>
    <row r="746" ht="15.75" customHeight="1">
      <c r="A746" s="118"/>
      <c r="B746" s="118"/>
      <c r="C746" s="118"/>
      <c r="D746" s="118"/>
      <c r="E746" s="118"/>
      <c r="F746" s="250"/>
      <c r="G746" s="250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</row>
    <row r="747" ht="15.75" customHeight="1">
      <c r="A747" s="118"/>
      <c r="B747" s="118"/>
      <c r="C747" s="118"/>
      <c r="D747" s="118"/>
      <c r="E747" s="118"/>
      <c r="F747" s="250"/>
      <c r="G747" s="250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</row>
    <row r="748" ht="15.75" customHeight="1">
      <c r="A748" s="118"/>
      <c r="B748" s="118"/>
      <c r="C748" s="118"/>
      <c r="D748" s="118"/>
      <c r="E748" s="118"/>
      <c r="F748" s="250"/>
      <c r="G748" s="250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</row>
    <row r="749" ht="15.75" customHeight="1">
      <c r="A749" s="118"/>
      <c r="B749" s="118"/>
      <c r="C749" s="118"/>
      <c r="D749" s="118"/>
      <c r="E749" s="118"/>
      <c r="F749" s="250"/>
      <c r="G749" s="250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</row>
    <row r="750" ht="15.75" customHeight="1">
      <c r="A750" s="118"/>
      <c r="B750" s="118"/>
      <c r="C750" s="118"/>
      <c r="D750" s="118"/>
      <c r="E750" s="118"/>
      <c r="F750" s="250"/>
      <c r="G750" s="250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</row>
    <row r="751" ht="15.75" customHeight="1">
      <c r="A751" s="118"/>
      <c r="B751" s="118"/>
      <c r="C751" s="118"/>
      <c r="D751" s="118"/>
      <c r="E751" s="118"/>
      <c r="F751" s="250"/>
      <c r="G751" s="250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</row>
    <row r="752" ht="15.75" customHeight="1">
      <c r="A752" s="118"/>
      <c r="B752" s="118"/>
      <c r="C752" s="118"/>
      <c r="D752" s="118"/>
      <c r="E752" s="118"/>
      <c r="F752" s="250"/>
      <c r="G752" s="250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</row>
    <row r="753" ht="15.75" customHeight="1">
      <c r="A753" s="118"/>
      <c r="B753" s="118"/>
      <c r="C753" s="118"/>
      <c r="D753" s="118"/>
      <c r="E753" s="118"/>
      <c r="F753" s="250"/>
      <c r="G753" s="250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</row>
    <row r="754" ht="15.75" customHeight="1">
      <c r="A754" s="118"/>
      <c r="B754" s="118"/>
      <c r="C754" s="118"/>
      <c r="D754" s="118"/>
      <c r="E754" s="118"/>
      <c r="F754" s="250"/>
      <c r="G754" s="250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</row>
    <row r="755" ht="15.75" customHeight="1">
      <c r="A755" s="118"/>
      <c r="B755" s="118"/>
      <c r="C755" s="118"/>
      <c r="D755" s="118"/>
      <c r="E755" s="118"/>
      <c r="F755" s="250"/>
      <c r="G755" s="250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</row>
    <row r="756" ht="15.75" customHeight="1">
      <c r="A756" s="118"/>
      <c r="B756" s="118"/>
      <c r="C756" s="118"/>
      <c r="D756" s="118"/>
      <c r="E756" s="118"/>
      <c r="F756" s="250"/>
      <c r="G756" s="250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</row>
    <row r="757" ht="15.75" customHeight="1">
      <c r="A757" s="118"/>
      <c r="B757" s="118"/>
      <c r="C757" s="118"/>
      <c r="D757" s="118"/>
      <c r="E757" s="118"/>
      <c r="F757" s="250"/>
      <c r="G757" s="250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</row>
    <row r="758" ht="15.75" customHeight="1">
      <c r="A758" s="118"/>
      <c r="B758" s="118"/>
      <c r="C758" s="118"/>
      <c r="D758" s="118"/>
      <c r="E758" s="118"/>
      <c r="F758" s="250"/>
      <c r="G758" s="250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</row>
    <row r="759" ht="15.75" customHeight="1">
      <c r="A759" s="118"/>
      <c r="B759" s="118"/>
      <c r="C759" s="118"/>
      <c r="D759" s="118"/>
      <c r="E759" s="118"/>
      <c r="F759" s="250"/>
      <c r="G759" s="250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</row>
    <row r="760" ht="15.75" customHeight="1">
      <c r="A760" s="118"/>
      <c r="B760" s="118"/>
      <c r="C760" s="118"/>
      <c r="D760" s="118"/>
      <c r="E760" s="118"/>
      <c r="F760" s="250"/>
      <c r="G760" s="250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</row>
    <row r="761" ht="15.75" customHeight="1">
      <c r="A761" s="118"/>
      <c r="B761" s="118"/>
      <c r="C761" s="118"/>
      <c r="D761" s="118"/>
      <c r="E761" s="118"/>
      <c r="F761" s="250"/>
      <c r="G761" s="250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</row>
    <row r="762" ht="15.75" customHeight="1">
      <c r="A762" s="118"/>
      <c r="B762" s="118"/>
      <c r="C762" s="118"/>
      <c r="D762" s="118"/>
      <c r="E762" s="118"/>
      <c r="F762" s="250"/>
      <c r="G762" s="250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</row>
    <row r="763" ht="15.75" customHeight="1">
      <c r="A763" s="118"/>
      <c r="B763" s="118"/>
      <c r="C763" s="118"/>
      <c r="D763" s="118"/>
      <c r="E763" s="118"/>
      <c r="F763" s="250"/>
      <c r="G763" s="250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</row>
    <row r="764" ht="15.75" customHeight="1">
      <c r="A764" s="118"/>
      <c r="B764" s="118"/>
      <c r="C764" s="118"/>
      <c r="D764" s="118"/>
      <c r="E764" s="118"/>
      <c r="F764" s="250"/>
      <c r="G764" s="250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</row>
    <row r="765" ht="15.75" customHeight="1">
      <c r="A765" s="118"/>
      <c r="B765" s="118"/>
      <c r="C765" s="118"/>
      <c r="D765" s="118"/>
      <c r="E765" s="118"/>
      <c r="F765" s="250"/>
      <c r="G765" s="250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</row>
    <row r="766" ht="15.75" customHeight="1">
      <c r="A766" s="118"/>
      <c r="B766" s="118"/>
      <c r="C766" s="118"/>
      <c r="D766" s="118"/>
      <c r="E766" s="118"/>
      <c r="F766" s="250"/>
      <c r="G766" s="250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</row>
    <row r="767" ht="15.75" customHeight="1">
      <c r="A767" s="118"/>
      <c r="B767" s="118"/>
      <c r="C767" s="118"/>
      <c r="D767" s="118"/>
      <c r="E767" s="118"/>
      <c r="F767" s="250"/>
      <c r="G767" s="250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</row>
    <row r="768" ht="15.75" customHeight="1">
      <c r="A768" s="118"/>
      <c r="B768" s="118"/>
      <c r="C768" s="118"/>
      <c r="D768" s="118"/>
      <c r="E768" s="118"/>
      <c r="F768" s="250"/>
      <c r="G768" s="250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</row>
    <row r="769" ht="15.75" customHeight="1">
      <c r="A769" s="118"/>
      <c r="B769" s="118"/>
      <c r="C769" s="118"/>
      <c r="D769" s="118"/>
      <c r="E769" s="118"/>
      <c r="F769" s="250"/>
      <c r="G769" s="250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</row>
    <row r="770" ht="15.75" customHeight="1">
      <c r="A770" s="118"/>
      <c r="B770" s="118"/>
      <c r="C770" s="118"/>
      <c r="D770" s="118"/>
      <c r="E770" s="118"/>
      <c r="F770" s="250"/>
      <c r="G770" s="250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</row>
    <row r="771" ht="15.75" customHeight="1">
      <c r="A771" s="118"/>
      <c r="B771" s="118"/>
      <c r="C771" s="118"/>
      <c r="D771" s="118"/>
      <c r="E771" s="118"/>
      <c r="F771" s="250"/>
      <c r="G771" s="250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</row>
    <row r="772" ht="15.75" customHeight="1">
      <c r="A772" s="118"/>
      <c r="B772" s="118"/>
      <c r="C772" s="118"/>
      <c r="D772" s="118"/>
      <c r="E772" s="118"/>
      <c r="F772" s="250"/>
      <c r="G772" s="250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</row>
    <row r="773" ht="15.75" customHeight="1">
      <c r="A773" s="118"/>
      <c r="B773" s="118"/>
      <c r="C773" s="118"/>
      <c r="D773" s="118"/>
      <c r="E773" s="118"/>
      <c r="F773" s="250"/>
      <c r="G773" s="250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</row>
    <row r="774" ht="15.75" customHeight="1">
      <c r="A774" s="118"/>
      <c r="B774" s="118"/>
      <c r="C774" s="118"/>
      <c r="D774" s="118"/>
      <c r="E774" s="118"/>
      <c r="F774" s="250"/>
      <c r="G774" s="250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</row>
    <row r="775" ht="15.75" customHeight="1">
      <c r="A775" s="118"/>
      <c r="B775" s="118"/>
      <c r="C775" s="118"/>
      <c r="D775" s="118"/>
      <c r="E775" s="118"/>
      <c r="F775" s="250"/>
      <c r="G775" s="250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</row>
    <row r="776" ht="15.75" customHeight="1">
      <c r="A776" s="118"/>
      <c r="B776" s="118"/>
      <c r="C776" s="118"/>
      <c r="D776" s="118"/>
      <c r="E776" s="118"/>
      <c r="F776" s="250"/>
      <c r="G776" s="250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</row>
    <row r="777" ht="15.75" customHeight="1">
      <c r="A777" s="118"/>
      <c r="B777" s="118"/>
      <c r="C777" s="118"/>
      <c r="D777" s="118"/>
      <c r="E777" s="118"/>
      <c r="F777" s="250"/>
      <c r="G777" s="250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</row>
    <row r="778" ht="15.75" customHeight="1">
      <c r="A778" s="118"/>
      <c r="B778" s="118"/>
      <c r="C778" s="118"/>
      <c r="D778" s="118"/>
      <c r="E778" s="118"/>
      <c r="F778" s="250"/>
      <c r="G778" s="250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</row>
    <row r="779" ht="15.75" customHeight="1">
      <c r="A779" s="118"/>
      <c r="B779" s="118"/>
      <c r="C779" s="118"/>
      <c r="D779" s="118"/>
      <c r="E779" s="118"/>
      <c r="F779" s="250"/>
      <c r="G779" s="250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</row>
    <row r="780" ht="15.75" customHeight="1">
      <c r="A780" s="118"/>
      <c r="B780" s="118"/>
      <c r="C780" s="118"/>
      <c r="D780" s="118"/>
      <c r="E780" s="118"/>
      <c r="F780" s="250"/>
      <c r="G780" s="250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</row>
    <row r="781" ht="15.75" customHeight="1">
      <c r="A781" s="118"/>
      <c r="B781" s="118"/>
      <c r="C781" s="118"/>
      <c r="D781" s="118"/>
      <c r="E781" s="118"/>
      <c r="F781" s="250"/>
      <c r="G781" s="250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</row>
    <row r="782" ht="15.75" customHeight="1">
      <c r="A782" s="118"/>
      <c r="B782" s="118"/>
      <c r="C782" s="118"/>
      <c r="D782" s="118"/>
      <c r="E782" s="118"/>
      <c r="F782" s="250"/>
      <c r="G782" s="250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</row>
    <row r="783" ht="15.75" customHeight="1">
      <c r="A783" s="118"/>
      <c r="B783" s="118"/>
      <c r="C783" s="118"/>
      <c r="D783" s="118"/>
      <c r="E783" s="118"/>
      <c r="F783" s="250"/>
      <c r="G783" s="250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</row>
    <row r="784" ht="15.75" customHeight="1">
      <c r="A784" s="118"/>
      <c r="B784" s="118"/>
      <c r="C784" s="118"/>
      <c r="D784" s="118"/>
      <c r="E784" s="118"/>
      <c r="F784" s="250"/>
      <c r="G784" s="250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</row>
    <row r="785" ht="15.75" customHeight="1">
      <c r="A785" s="118"/>
      <c r="B785" s="118"/>
      <c r="C785" s="118"/>
      <c r="D785" s="118"/>
      <c r="E785" s="118"/>
      <c r="F785" s="250"/>
      <c r="G785" s="250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</row>
    <row r="786" ht="15.75" customHeight="1">
      <c r="A786" s="118"/>
      <c r="B786" s="118"/>
      <c r="C786" s="118"/>
      <c r="D786" s="118"/>
      <c r="E786" s="118"/>
      <c r="F786" s="250"/>
      <c r="G786" s="250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</row>
    <row r="787" ht="15.75" customHeight="1">
      <c r="A787" s="118"/>
      <c r="B787" s="118"/>
      <c r="C787" s="118"/>
      <c r="D787" s="118"/>
      <c r="E787" s="118"/>
      <c r="F787" s="250"/>
      <c r="G787" s="250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</row>
    <row r="788" ht="15.75" customHeight="1">
      <c r="A788" s="118"/>
      <c r="B788" s="118"/>
      <c r="C788" s="118"/>
      <c r="D788" s="118"/>
      <c r="E788" s="118"/>
      <c r="F788" s="250"/>
      <c r="G788" s="250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</row>
    <row r="789" ht="15.75" customHeight="1">
      <c r="A789" s="118"/>
      <c r="B789" s="118"/>
      <c r="C789" s="118"/>
      <c r="D789" s="118"/>
      <c r="E789" s="118"/>
      <c r="F789" s="250"/>
      <c r="G789" s="250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</row>
    <row r="790" ht="15.75" customHeight="1">
      <c r="A790" s="118"/>
      <c r="B790" s="118"/>
      <c r="C790" s="118"/>
      <c r="D790" s="118"/>
      <c r="E790" s="118"/>
      <c r="F790" s="250"/>
      <c r="G790" s="250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</row>
    <row r="791" ht="15.75" customHeight="1">
      <c r="A791" s="118"/>
      <c r="B791" s="118"/>
      <c r="C791" s="118"/>
      <c r="D791" s="118"/>
      <c r="E791" s="118"/>
      <c r="F791" s="250"/>
      <c r="G791" s="250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</row>
    <row r="792" ht="15.75" customHeight="1">
      <c r="A792" s="118"/>
      <c r="B792" s="118"/>
      <c r="C792" s="118"/>
      <c r="D792" s="118"/>
      <c r="E792" s="118"/>
      <c r="F792" s="250"/>
      <c r="G792" s="250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</row>
    <row r="793" ht="15.75" customHeight="1">
      <c r="A793" s="118"/>
      <c r="B793" s="118"/>
      <c r="C793" s="118"/>
      <c r="D793" s="118"/>
      <c r="E793" s="118"/>
      <c r="F793" s="250"/>
      <c r="G793" s="250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</row>
    <row r="794" ht="15.75" customHeight="1">
      <c r="A794" s="118"/>
      <c r="B794" s="118"/>
      <c r="C794" s="118"/>
      <c r="D794" s="118"/>
      <c r="E794" s="118"/>
      <c r="F794" s="250"/>
      <c r="G794" s="250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</row>
    <row r="795" ht="15.75" customHeight="1">
      <c r="A795" s="118"/>
      <c r="B795" s="118"/>
      <c r="C795" s="118"/>
      <c r="D795" s="118"/>
      <c r="E795" s="118"/>
      <c r="F795" s="250"/>
      <c r="G795" s="250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</row>
    <row r="796" ht="15.75" customHeight="1">
      <c r="A796" s="118"/>
      <c r="B796" s="118"/>
      <c r="C796" s="118"/>
      <c r="D796" s="118"/>
      <c r="E796" s="118"/>
      <c r="F796" s="250"/>
      <c r="G796" s="250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</row>
    <row r="797" ht="15.75" customHeight="1">
      <c r="A797" s="118"/>
      <c r="B797" s="118"/>
      <c r="C797" s="118"/>
      <c r="D797" s="118"/>
      <c r="E797" s="118"/>
      <c r="F797" s="250"/>
      <c r="G797" s="250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</row>
    <row r="798" ht="15.75" customHeight="1">
      <c r="A798" s="118"/>
      <c r="B798" s="118"/>
      <c r="C798" s="118"/>
      <c r="D798" s="118"/>
      <c r="E798" s="118"/>
      <c r="F798" s="250"/>
      <c r="G798" s="250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</row>
    <row r="799" ht="15.75" customHeight="1">
      <c r="A799" s="118"/>
      <c r="B799" s="118"/>
      <c r="C799" s="118"/>
      <c r="D799" s="118"/>
      <c r="E799" s="118"/>
      <c r="F799" s="250"/>
      <c r="G799" s="250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</row>
    <row r="800" ht="15.75" customHeight="1">
      <c r="A800" s="118"/>
      <c r="B800" s="118"/>
      <c r="C800" s="118"/>
      <c r="D800" s="118"/>
      <c r="E800" s="118"/>
      <c r="F800" s="250"/>
      <c r="G800" s="250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</row>
    <row r="801" ht="15.75" customHeight="1">
      <c r="A801" s="118"/>
      <c r="B801" s="118"/>
      <c r="C801" s="118"/>
      <c r="D801" s="118"/>
      <c r="E801" s="118"/>
      <c r="F801" s="250"/>
      <c r="G801" s="250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</row>
    <row r="802" ht="15.75" customHeight="1">
      <c r="A802" s="118"/>
      <c r="B802" s="118"/>
      <c r="C802" s="118"/>
      <c r="D802" s="118"/>
      <c r="E802" s="118"/>
      <c r="F802" s="250"/>
      <c r="G802" s="250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</row>
    <row r="803" ht="15.75" customHeight="1">
      <c r="A803" s="118"/>
      <c r="B803" s="118"/>
      <c r="C803" s="118"/>
      <c r="D803" s="118"/>
      <c r="E803" s="118"/>
      <c r="F803" s="250"/>
      <c r="G803" s="250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</row>
    <row r="804" ht="15.75" customHeight="1">
      <c r="A804" s="118"/>
      <c r="B804" s="118"/>
      <c r="C804" s="118"/>
      <c r="D804" s="118"/>
      <c r="E804" s="118"/>
      <c r="F804" s="250"/>
      <c r="G804" s="250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</row>
    <row r="805" ht="15.75" customHeight="1">
      <c r="A805" s="118"/>
      <c r="B805" s="118"/>
      <c r="C805" s="118"/>
      <c r="D805" s="118"/>
      <c r="E805" s="118"/>
      <c r="F805" s="250"/>
      <c r="G805" s="250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</row>
    <row r="806" ht="15.75" customHeight="1">
      <c r="A806" s="118"/>
      <c r="B806" s="118"/>
      <c r="C806" s="118"/>
      <c r="D806" s="118"/>
      <c r="E806" s="118"/>
      <c r="F806" s="250"/>
      <c r="G806" s="250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</row>
    <row r="807" ht="15.75" customHeight="1">
      <c r="A807" s="118"/>
      <c r="B807" s="118"/>
      <c r="C807" s="118"/>
      <c r="D807" s="118"/>
      <c r="E807" s="118"/>
      <c r="F807" s="250"/>
      <c r="G807" s="250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</row>
    <row r="808" ht="15.75" customHeight="1">
      <c r="A808" s="118"/>
      <c r="B808" s="118"/>
      <c r="C808" s="118"/>
      <c r="D808" s="118"/>
      <c r="E808" s="118"/>
      <c r="F808" s="250"/>
      <c r="G808" s="250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</row>
    <row r="809" ht="15.75" customHeight="1">
      <c r="A809" s="118"/>
      <c r="B809" s="118"/>
      <c r="C809" s="118"/>
      <c r="D809" s="118"/>
      <c r="E809" s="118"/>
      <c r="F809" s="250"/>
      <c r="G809" s="250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</row>
    <row r="810" ht="15.75" customHeight="1">
      <c r="A810" s="118"/>
      <c r="B810" s="118"/>
      <c r="C810" s="118"/>
      <c r="D810" s="118"/>
      <c r="E810" s="118"/>
      <c r="F810" s="250"/>
      <c r="G810" s="250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</row>
    <row r="811" ht="15.75" customHeight="1">
      <c r="A811" s="118"/>
      <c r="B811" s="118"/>
      <c r="C811" s="118"/>
      <c r="D811" s="118"/>
      <c r="E811" s="118"/>
      <c r="F811" s="250"/>
      <c r="G811" s="250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</row>
    <row r="812" ht="15.75" customHeight="1">
      <c r="A812" s="118"/>
      <c r="B812" s="118"/>
      <c r="C812" s="118"/>
      <c r="D812" s="118"/>
      <c r="E812" s="118"/>
      <c r="F812" s="250"/>
      <c r="G812" s="250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</row>
    <row r="813" ht="15.75" customHeight="1">
      <c r="A813" s="118"/>
      <c r="B813" s="118"/>
      <c r="C813" s="118"/>
      <c r="D813" s="118"/>
      <c r="E813" s="118"/>
      <c r="F813" s="250"/>
      <c r="G813" s="250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</row>
    <row r="814" ht="15.75" customHeight="1">
      <c r="A814" s="118"/>
      <c r="B814" s="118"/>
      <c r="C814" s="118"/>
      <c r="D814" s="118"/>
      <c r="E814" s="118"/>
      <c r="F814" s="250"/>
      <c r="G814" s="250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</row>
    <row r="815" ht="15.75" customHeight="1">
      <c r="A815" s="118"/>
      <c r="B815" s="118"/>
      <c r="C815" s="118"/>
      <c r="D815" s="118"/>
      <c r="E815" s="118"/>
      <c r="F815" s="250"/>
      <c r="G815" s="250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</row>
    <row r="816" ht="15.75" customHeight="1">
      <c r="A816" s="118"/>
      <c r="B816" s="118"/>
      <c r="C816" s="118"/>
      <c r="D816" s="118"/>
      <c r="E816" s="118"/>
      <c r="F816" s="250"/>
      <c r="G816" s="250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</row>
    <row r="817" ht="15.75" customHeight="1">
      <c r="A817" s="118"/>
      <c r="B817" s="118"/>
      <c r="C817" s="118"/>
      <c r="D817" s="118"/>
      <c r="E817" s="118"/>
      <c r="F817" s="250"/>
      <c r="G817" s="250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</row>
    <row r="818" ht="15.75" customHeight="1">
      <c r="A818" s="118"/>
      <c r="B818" s="118"/>
      <c r="C818" s="118"/>
      <c r="D818" s="118"/>
      <c r="E818" s="118"/>
      <c r="F818" s="250"/>
      <c r="G818" s="250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</row>
    <row r="819" ht="15.75" customHeight="1">
      <c r="A819" s="118"/>
      <c r="B819" s="118"/>
      <c r="C819" s="118"/>
      <c r="D819" s="118"/>
      <c r="E819" s="118"/>
      <c r="F819" s="250"/>
      <c r="G819" s="250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</row>
    <row r="820" ht="15.75" customHeight="1">
      <c r="A820" s="118"/>
      <c r="B820" s="118"/>
      <c r="C820" s="118"/>
      <c r="D820" s="118"/>
      <c r="E820" s="118"/>
      <c r="F820" s="250"/>
      <c r="G820" s="250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</row>
    <row r="821" ht="15.75" customHeight="1">
      <c r="A821" s="118"/>
      <c r="B821" s="118"/>
      <c r="C821" s="118"/>
      <c r="D821" s="118"/>
      <c r="E821" s="118"/>
      <c r="F821" s="250"/>
      <c r="G821" s="250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</row>
    <row r="822" ht="15.75" customHeight="1">
      <c r="A822" s="118"/>
      <c r="B822" s="118"/>
      <c r="C822" s="118"/>
      <c r="D822" s="118"/>
      <c r="E822" s="118"/>
      <c r="F822" s="250"/>
      <c r="G822" s="250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</row>
    <row r="823" ht="15.75" customHeight="1">
      <c r="A823" s="118"/>
      <c r="B823" s="118"/>
      <c r="C823" s="118"/>
      <c r="D823" s="118"/>
      <c r="E823" s="118"/>
      <c r="F823" s="250"/>
      <c r="G823" s="250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</row>
    <row r="824" ht="15.75" customHeight="1">
      <c r="A824" s="118"/>
      <c r="B824" s="118"/>
      <c r="C824" s="118"/>
      <c r="D824" s="118"/>
      <c r="E824" s="118"/>
      <c r="F824" s="250"/>
      <c r="G824" s="250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</row>
    <row r="825" ht="15.75" customHeight="1">
      <c r="A825" s="118"/>
      <c r="B825" s="118"/>
      <c r="C825" s="118"/>
      <c r="D825" s="118"/>
      <c r="E825" s="118"/>
      <c r="F825" s="250"/>
      <c r="G825" s="250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</row>
    <row r="826" ht="15.75" customHeight="1">
      <c r="A826" s="118"/>
      <c r="B826" s="118"/>
      <c r="C826" s="118"/>
      <c r="D826" s="118"/>
      <c r="E826" s="118"/>
      <c r="F826" s="250"/>
      <c r="G826" s="250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</row>
    <row r="827" ht="15.75" customHeight="1">
      <c r="A827" s="118"/>
      <c r="B827" s="118"/>
      <c r="C827" s="118"/>
      <c r="D827" s="118"/>
      <c r="E827" s="118"/>
      <c r="F827" s="250"/>
      <c r="G827" s="250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</row>
    <row r="828" ht="15.75" customHeight="1">
      <c r="A828" s="118"/>
      <c r="B828" s="118"/>
      <c r="C828" s="118"/>
      <c r="D828" s="118"/>
      <c r="E828" s="118"/>
      <c r="F828" s="250"/>
      <c r="G828" s="250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</row>
    <row r="829" ht="15.75" customHeight="1">
      <c r="A829" s="118"/>
      <c r="B829" s="118"/>
      <c r="C829" s="118"/>
      <c r="D829" s="118"/>
      <c r="E829" s="118"/>
      <c r="F829" s="250"/>
      <c r="G829" s="250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</row>
    <row r="830" ht="15.75" customHeight="1">
      <c r="A830" s="118"/>
      <c r="B830" s="118"/>
      <c r="C830" s="118"/>
      <c r="D830" s="118"/>
      <c r="E830" s="118"/>
      <c r="F830" s="250"/>
      <c r="G830" s="250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</row>
    <row r="831" ht="15.75" customHeight="1">
      <c r="A831" s="118"/>
      <c r="B831" s="118"/>
      <c r="C831" s="118"/>
      <c r="D831" s="118"/>
      <c r="E831" s="118"/>
      <c r="F831" s="250"/>
      <c r="G831" s="250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</row>
    <row r="832" ht="15.75" customHeight="1">
      <c r="A832" s="118"/>
      <c r="B832" s="118"/>
      <c r="C832" s="118"/>
      <c r="D832" s="118"/>
      <c r="E832" s="118"/>
      <c r="F832" s="250"/>
      <c r="G832" s="250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</row>
    <row r="833" ht="15.75" customHeight="1">
      <c r="A833" s="118"/>
      <c r="B833" s="118"/>
      <c r="C833" s="118"/>
      <c r="D833" s="118"/>
      <c r="E833" s="118"/>
      <c r="F833" s="250"/>
      <c r="G833" s="250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</row>
    <row r="834" ht="15.75" customHeight="1">
      <c r="A834" s="118"/>
      <c r="B834" s="118"/>
      <c r="C834" s="118"/>
      <c r="D834" s="118"/>
      <c r="E834" s="118"/>
      <c r="F834" s="250"/>
      <c r="G834" s="250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</row>
    <row r="835" ht="15.75" customHeight="1">
      <c r="A835" s="118"/>
      <c r="B835" s="118"/>
      <c r="C835" s="118"/>
      <c r="D835" s="118"/>
      <c r="E835" s="118"/>
      <c r="F835" s="250"/>
      <c r="G835" s="250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</row>
    <row r="836" ht="15.75" customHeight="1">
      <c r="A836" s="118"/>
      <c r="B836" s="118"/>
      <c r="C836" s="118"/>
      <c r="D836" s="118"/>
      <c r="E836" s="118"/>
      <c r="F836" s="250"/>
      <c r="G836" s="250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</row>
    <row r="837" ht="15.75" customHeight="1">
      <c r="A837" s="118"/>
      <c r="B837" s="118"/>
      <c r="C837" s="118"/>
      <c r="D837" s="118"/>
      <c r="E837" s="118"/>
      <c r="F837" s="250"/>
      <c r="G837" s="250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</row>
    <row r="838" ht="15.75" customHeight="1">
      <c r="A838" s="118"/>
      <c r="B838" s="118"/>
      <c r="C838" s="118"/>
      <c r="D838" s="118"/>
      <c r="E838" s="118"/>
      <c r="F838" s="250"/>
      <c r="G838" s="250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</row>
    <row r="839" ht="15.75" customHeight="1">
      <c r="A839" s="118"/>
      <c r="B839" s="118"/>
      <c r="C839" s="118"/>
      <c r="D839" s="118"/>
      <c r="E839" s="118"/>
      <c r="F839" s="250"/>
      <c r="G839" s="250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</row>
    <row r="840" ht="15.75" customHeight="1">
      <c r="A840" s="118"/>
      <c r="B840" s="118"/>
      <c r="C840" s="118"/>
      <c r="D840" s="118"/>
      <c r="E840" s="118"/>
      <c r="F840" s="250"/>
      <c r="G840" s="250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</row>
    <row r="841" ht="15.75" customHeight="1">
      <c r="A841" s="118"/>
      <c r="B841" s="118"/>
      <c r="C841" s="118"/>
      <c r="D841" s="118"/>
      <c r="E841" s="118"/>
      <c r="F841" s="250"/>
      <c r="G841" s="250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</row>
    <row r="842" ht="15.75" customHeight="1">
      <c r="A842" s="118"/>
      <c r="B842" s="118"/>
      <c r="C842" s="118"/>
      <c r="D842" s="118"/>
      <c r="E842" s="118"/>
      <c r="F842" s="250"/>
      <c r="G842" s="250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</row>
    <row r="843" ht="15.75" customHeight="1">
      <c r="A843" s="118"/>
      <c r="B843" s="118"/>
      <c r="C843" s="118"/>
      <c r="D843" s="118"/>
      <c r="E843" s="118"/>
      <c r="F843" s="250"/>
      <c r="G843" s="250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</row>
    <row r="844" ht="15.75" customHeight="1">
      <c r="A844" s="118"/>
      <c r="B844" s="118"/>
      <c r="C844" s="118"/>
      <c r="D844" s="118"/>
      <c r="E844" s="118"/>
      <c r="F844" s="250"/>
      <c r="G844" s="250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</row>
    <row r="845" ht="15.75" customHeight="1">
      <c r="A845" s="118"/>
      <c r="B845" s="118"/>
      <c r="C845" s="118"/>
      <c r="D845" s="118"/>
      <c r="E845" s="118"/>
      <c r="F845" s="250"/>
      <c r="G845" s="250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  <c r="AG845" s="118"/>
    </row>
    <row r="846" ht="15.75" customHeight="1">
      <c r="A846" s="118"/>
      <c r="B846" s="118"/>
      <c r="C846" s="118"/>
      <c r="D846" s="118"/>
      <c r="E846" s="118"/>
      <c r="F846" s="250"/>
      <c r="G846" s="250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  <c r="AG846" s="118"/>
    </row>
    <row r="847" ht="15.75" customHeight="1">
      <c r="A847" s="118"/>
      <c r="B847" s="118"/>
      <c r="C847" s="118"/>
      <c r="D847" s="118"/>
      <c r="E847" s="118"/>
      <c r="F847" s="250"/>
      <c r="G847" s="250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  <c r="AG847" s="118"/>
    </row>
    <row r="848" ht="15.75" customHeight="1">
      <c r="A848" s="118"/>
      <c r="B848" s="118"/>
      <c r="C848" s="118"/>
      <c r="D848" s="118"/>
      <c r="E848" s="118"/>
      <c r="F848" s="250"/>
      <c r="G848" s="250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  <c r="AG848" s="118"/>
    </row>
    <row r="849" ht="15.75" customHeight="1">
      <c r="A849" s="118"/>
      <c r="B849" s="118"/>
      <c r="C849" s="118"/>
      <c r="D849" s="118"/>
      <c r="E849" s="118"/>
      <c r="F849" s="250"/>
      <c r="G849" s="250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  <c r="AG849" s="118"/>
    </row>
    <row r="850" ht="15.75" customHeight="1">
      <c r="A850" s="118"/>
      <c r="B850" s="118"/>
      <c r="C850" s="118"/>
      <c r="D850" s="118"/>
      <c r="E850" s="118"/>
      <c r="F850" s="250"/>
      <c r="G850" s="250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  <c r="AG850" s="118"/>
    </row>
    <row r="851" ht="15.75" customHeight="1">
      <c r="A851" s="118"/>
      <c r="B851" s="118"/>
      <c r="C851" s="118"/>
      <c r="D851" s="118"/>
      <c r="E851" s="118"/>
      <c r="F851" s="250"/>
      <c r="G851" s="250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  <c r="AG851" s="118"/>
    </row>
    <row r="852" ht="15.75" customHeight="1">
      <c r="A852" s="118"/>
      <c r="B852" s="118"/>
      <c r="C852" s="118"/>
      <c r="D852" s="118"/>
      <c r="E852" s="118"/>
      <c r="F852" s="250"/>
      <c r="G852" s="250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  <c r="AG852" s="118"/>
    </row>
    <row r="853" ht="15.75" customHeight="1">
      <c r="A853" s="118"/>
      <c r="B853" s="118"/>
      <c r="C853" s="118"/>
      <c r="D853" s="118"/>
      <c r="E853" s="118"/>
      <c r="F853" s="250"/>
      <c r="G853" s="250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  <c r="AG853" s="118"/>
    </row>
    <row r="854" ht="15.75" customHeight="1">
      <c r="A854" s="118"/>
      <c r="B854" s="118"/>
      <c r="C854" s="118"/>
      <c r="D854" s="118"/>
      <c r="E854" s="118"/>
      <c r="F854" s="250"/>
      <c r="G854" s="250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  <c r="AG854" s="118"/>
    </row>
    <row r="855" ht="15.75" customHeight="1">
      <c r="A855" s="118"/>
      <c r="B855" s="118"/>
      <c r="C855" s="118"/>
      <c r="D855" s="118"/>
      <c r="E855" s="118"/>
      <c r="F855" s="250"/>
      <c r="G855" s="250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  <c r="AG855" s="118"/>
    </row>
    <row r="856" ht="15.75" customHeight="1">
      <c r="A856" s="118"/>
      <c r="B856" s="118"/>
      <c r="C856" s="118"/>
      <c r="D856" s="118"/>
      <c r="E856" s="118"/>
      <c r="F856" s="250"/>
      <c r="G856" s="250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</row>
    <row r="857" ht="15.75" customHeight="1">
      <c r="A857" s="118"/>
      <c r="B857" s="118"/>
      <c r="C857" s="118"/>
      <c r="D857" s="118"/>
      <c r="E857" s="118"/>
      <c r="F857" s="250"/>
      <c r="G857" s="250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</row>
    <row r="858" ht="15.75" customHeight="1">
      <c r="A858" s="118"/>
      <c r="B858" s="118"/>
      <c r="C858" s="118"/>
      <c r="D858" s="118"/>
      <c r="E858" s="118"/>
      <c r="F858" s="250"/>
      <c r="G858" s="250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</row>
    <row r="859" ht="15.75" customHeight="1">
      <c r="A859" s="118"/>
      <c r="B859" s="118"/>
      <c r="C859" s="118"/>
      <c r="D859" s="118"/>
      <c r="E859" s="118"/>
      <c r="F859" s="250"/>
      <c r="G859" s="250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</row>
    <row r="860" ht="15.75" customHeight="1">
      <c r="A860" s="118"/>
      <c r="B860" s="118"/>
      <c r="C860" s="118"/>
      <c r="D860" s="118"/>
      <c r="E860" s="118"/>
      <c r="F860" s="250"/>
      <c r="G860" s="250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</row>
    <row r="861" ht="15.75" customHeight="1">
      <c r="A861" s="118"/>
      <c r="B861" s="118"/>
      <c r="C861" s="118"/>
      <c r="D861" s="118"/>
      <c r="E861" s="118"/>
      <c r="F861" s="250"/>
      <c r="G861" s="250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</row>
    <row r="862" ht="15.75" customHeight="1">
      <c r="A862" s="118"/>
      <c r="B862" s="118"/>
      <c r="C862" s="118"/>
      <c r="D862" s="118"/>
      <c r="E862" s="118"/>
      <c r="F862" s="250"/>
      <c r="G862" s="250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</row>
    <row r="863" ht="15.75" customHeight="1">
      <c r="A863" s="118"/>
      <c r="B863" s="118"/>
      <c r="C863" s="118"/>
      <c r="D863" s="118"/>
      <c r="E863" s="118"/>
      <c r="F863" s="250"/>
      <c r="G863" s="250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</row>
    <row r="864" ht="15.75" customHeight="1">
      <c r="A864" s="118"/>
      <c r="B864" s="118"/>
      <c r="C864" s="118"/>
      <c r="D864" s="118"/>
      <c r="E864" s="118"/>
      <c r="F864" s="250"/>
      <c r="G864" s="250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</row>
    <row r="865" ht="15.75" customHeight="1">
      <c r="A865" s="118"/>
      <c r="B865" s="118"/>
      <c r="C865" s="118"/>
      <c r="D865" s="118"/>
      <c r="E865" s="118"/>
      <c r="F865" s="250"/>
      <c r="G865" s="250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</row>
    <row r="866" ht="15.75" customHeight="1">
      <c r="A866" s="118"/>
      <c r="B866" s="118"/>
      <c r="C866" s="118"/>
      <c r="D866" s="118"/>
      <c r="E866" s="118"/>
      <c r="F866" s="250"/>
      <c r="G866" s="250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</row>
    <row r="867" ht="15.75" customHeight="1">
      <c r="A867" s="118"/>
      <c r="B867" s="118"/>
      <c r="C867" s="118"/>
      <c r="D867" s="118"/>
      <c r="E867" s="118"/>
      <c r="F867" s="250"/>
      <c r="G867" s="250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</row>
    <row r="868" ht="15.75" customHeight="1">
      <c r="A868" s="118"/>
      <c r="B868" s="118"/>
      <c r="C868" s="118"/>
      <c r="D868" s="118"/>
      <c r="E868" s="118"/>
      <c r="F868" s="250"/>
      <c r="G868" s="250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</row>
    <row r="869" ht="15.75" customHeight="1">
      <c r="A869" s="118"/>
      <c r="B869" s="118"/>
      <c r="C869" s="118"/>
      <c r="D869" s="118"/>
      <c r="E869" s="118"/>
      <c r="F869" s="250"/>
      <c r="G869" s="250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</row>
    <row r="870" ht="15.75" customHeight="1">
      <c r="A870" s="118"/>
      <c r="B870" s="118"/>
      <c r="C870" s="118"/>
      <c r="D870" s="118"/>
      <c r="E870" s="118"/>
      <c r="F870" s="250"/>
      <c r="G870" s="250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</row>
    <row r="871" ht="15.75" customHeight="1">
      <c r="A871" s="118"/>
      <c r="B871" s="118"/>
      <c r="C871" s="118"/>
      <c r="D871" s="118"/>
      <c r="E871" s="118"/>
      <c r="F871" s="250"/>
      <c r="G871" s="250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</row>
    <row r="872" ht="15.75" customHeight="1">
      <c r="A872" s="118"/>
      <c r="B872" s="118"/>
      <c r="C872" s="118"/>
      <c r="D872" s="118"/>
      <c r="E872" s="118"/>
      <c r="F872" s="250"/>
      <c r="G872" s="250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</row>
    <row r="873" ht="15.75" customHeight="1">
      <c r="A873" s="118"/>
      <c r="B873" s="118"/>
      <c r="C873" s="118"/>
      <c r="D873" s="118"/>
      <c r="E873" s="118"/>
      <c r="F873" s="250"/>
      <c r="G873" s="250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</row>
    <row r="874" ht="15.75" customHeight="1">
      <c r="A874" s="118"/>
      <c r="B874" s="118"/>
      <c r="C874" s="118"/>
      <c r="D874" s="118"/>
      <c r="E874" s="118"/>
      <c r="F874" s="250"/>
      <c r="G874" s="250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</row>
    <row r="875" ht="15.75" customHeight="1">
      <c r="A875" s="118"/>
      <c r="B875" s="118"/>
      <c r="C875" s="118"/>
      <c r="D875" s="118"/>
      <c r="E875" s="118"/>
      <c r="F875" s="250"/>
      <c r="G875" s="250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</row>
    <row r="876" ht="15.75" customHeight="1">
      <c r="A876" s="118"/>
      <c r="B876" s="118"/>
      <c r="C876" s="118"/>
      <c r="D876" s="118"/>
      <c r="E876" s="118"/>
      <c r="F876" s="250"/>
      <c r="G876" s="250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</row>
    <row r="877" ht="15.75" customHeight="1">
      <c r="A877" s="118"/>
      <c r="B877" s="118"/>
      <c r="C877" s="118"/>
      <c r="D877" s="118"/>
      <c r="E877" s="118"/>
      <c r="F877" s="250"/>
      <c r="G877" s="250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  <c r="AG877" s="118"/>
    </row>
    <row r="878" ht="15.75" customHeight="1">
      <c r="A878" s="118"/>
      <c r="B878" s="118"/>
      <c r="C878" s="118"/>
      <c r="D878" s="118"/>
      <c r="E878" s="118"/>
      <c r="F878" s="250"/>
      <c r="G878" s="250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  <c r="AG878" s="118"/>
    </row>
    <row r="879" ht="15.75" customHeight="1">
      <c r="A879" s="118"/>
      <c r="B879" s="118"/>
      <c r="C879" s="118"/>
      <c r="D879" s="118"/>
      <c r="E879" s="118"/>
      <c r="F879" s="250"/>
      <c r="G879" s="250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  <c r="AG879" s="118"/>
    </row>
    <row r="880" ht="15.75" customHeight="1">
      <c r="A880" s="118"/>
      <c r="B880" s="118"/>
      <c r="C880" s="118"/>
      <c r="D880" s="118"/>
      <c r="E880" s="118"/>
      <c r="F880" s="250"/>
      <c r="G880" s="250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  <c r="AG880" s="118"/>
    </row>
    <row r="881" ht="15.75" customHeight="1">
      <c r="A881" s="118"/>
      <c r="B881" s="118"/>
      <c r="C881" s="118"/>
      <c r="D881" s="118"/>
      <c r="E881" s="118"/>
      <c r="F881" s="250"/>
      <c r="G881" s="250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  <c r="AG881" s="118"/>
    </row>
    <row r="882" ht="15.75" customHeight="1">
      <c r="A882" s="118"/>
      <c r="B882" s="118"/>
      <c r="C882" s="118"/>
      <c r="D882" s="118"/>
      <c r="E882" s="118"/>
      <c r="F882" s="250"/>
      <c r="G882" s="250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  <c r="AG882" s="118"/>
    </row>
    <row r="883" ht="15.75" customHeight="1">
      <c r="A883" s="118"/>
      <c r="B883" s="118"/>
      <c r="C883" s="118"/>
      <c r="D883" s="118"/>
      <c r="E883" s="118"/>
      <c r="F883" s="250"/>
      <c r="G883" s="250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  <c r="AG883" s="118"/>
    </row>
    <row r="884" ht="15.75" customHeight="1">
      <c r="A884" s="118"/>
      <c r="B884" s="118"/>
      <c r="C884" s="118"/>
      <c r="D884" s="118"/>
      <c r="E884" s="118"/>
      <c r="F884" s="250"/>
      <c r="G884" s="250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  <c r="AG884" s="118"/>
    </row>
    <row r="885" ht="15.75" customHeight="1">
      <c r="A885" s="118"/>
      <c r="B885" s="118"/>
      <c r="C885" s="118"/>
      <c r="D885" s="118"/>
      <c r="E885" s="118"/>
      <c r="F885" s="250"/>
      <c r="G885" s="250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  <c r="AG885" s="118"/>
    </row>
    <row r="886" ht="15.75" customHeight="1">
      <c r="A886" s="118"/>
      <c r="B886" s="118"/>
      <c r="C886" s="118"/>
      <c r="D886" s="118"/>
      <c r="E886" s="118"/>
      <c r="F886" s="250"/>
      <c r="G886" s="250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  <c r="AG886" s="118"/>
    </row>
    <row r="887" ht="15.75" customHeight="1">
      <c r="A887" s="118"/>
      <c r="B887" s="118"/>
      <c r="C887" s="118"/>
      <c r="D887" s="118"/>
      <c r="E887" s="118"/>
      <c r="F887" s="250"/>
      <c r="G887" s="250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</row>
    <row r="888" ht="15.75" customHeight="1">
      <c r="A888" s="118"/>
      <c r="B888" s="118"/>
      <c r="C888" s="118"/>
      <c r="D888" s="118"/>
      <c r="E888" s="118"/>
      <c r="F888" s="250"/>
      <c r="G888" s="250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  <c r="AG888" s="118"/>
    </row>
    <row r="889" ht="15.75" customHeight="1">
      <c r="A889" s="118"/>
      <c r="B889" s="118"/>
      <c r="C889" s="118"/>
      <c r="D889" s="118"/>
      <c r="E889" s="118"/>
      <c r="F889" s="250"/>
      <c r="G889" s="250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  <c r="AG889" s="118"/>
    </row>
    <row r="890" ht="15.75" customHeight="1">
      <c r="A890" s="118"/>
      <c r="B890" s="118"/>
      <c r="C890" s="118"/>
      <c r="D890" s="118"/>
      <c r="E890" s="118"/>
      <c r="F890" s="250"/>
      <c r="G890" s="250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  <c r="AG890" s="118"/>
    </row>
    <row r="891" ht="15.75" customHeight="1">
      <c r="A891" s="118"/>
      <c r="B891" s="118"/>
      <c r="C891" s="118"/>
      <c r="D891" s="118"/>
      <c r="E891" s="118"/>
      <c r="F891" s="250"/>
      <c r="G891" s="250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  <c r="AG891" s="118"/>
    </row>
    <row r="892" ht="15.75" customHeight="1">
      <c r="A892" s="118"/>
      <c r="B892" s="118"/>
      <c r="C892" s="118"/>
      <c r="D892" s="118"/>
      <c r="E892" s="118"/>
      <c r="F892" s="250"/>
      <c r="G892" s="250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  <c r="AG892" s="118"/>
    </row>
    <row r="893" ht="15.75" customHeight="1">
      <c r="A893" s="118"/>
      <c r="B893" s="118"/>
      <c r="C893" s="118"/>
      <c r="D893" s="118"/>
      <c r="E893" s="118"/>
      <c r="F893" s="250"/>
      <c r="G893" s="250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  <c r="AG893" s="118"/>
    </row>
    <row r="894" ht="15.75" customHeight="1">
      <c r="A894" s="118"/>
      <c r="B894" s="118"/>
      <c r="C894" s="118"/>
      <c r="D894" s="118"/>
      <c r="E894" s="118"/>
      <c r="F894" s="250"/>
      <c r="G894" s="250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  <c r="AG894" s="118"/>
    </row>
    <row r="895" ht="15.75" customHeight="1">
      <c r="A895" s="118"/>
      <c r="B895" s="118"/>
      <c r="C895" s="118"/>
      <c r="D895" s="118"/>
      <c r="E895" s="118"/>
      <c r="F895" s="250"/>
      <c r="G895" s="250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  <c r="AG895" s="118"/>
    </row>
    <row r="896" ht="15.75" customHeight="1">
      <c r="A896" s="118"/>
      <c r="B896" s="118"/>
      <c r="C896" s="118"/>
      <c r="D896" s="118"/>
      <c r="E896" s="118"/>
      <c r="F896" s="250"/>
      <c r="G896" s="250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  <c r="AG896" s="118"/>
    </row>
    <row r="897" ht="15.75" customHeight="1">
      <c r="A897" s="118"/>
      <c r="B897" s="118"/>
      <c r="C897" s="118"/>
      <c r="D897" s="118"/>
      <c r="E897" s="118"/>
      <c r="F897" s="250"/>
      <c r="G897" s="250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  <c r="AG897" s="118"/>
    </row>
    <row r="898" ht="15.75" customHeight="1">
      <c r="A898" s="118"/>
      <c r="B898" s="118"/>
      <c r="C898" s="118"/>
      <c r="D898" s="118"/>
      <c r="E898" s="118"/>
      <c r="F898" s="250"/>
      <c r="G898" s="250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  <c r="AG898" s="118"/>
    </row>
    <row r="899" ht="15.75" customHeight="1">
      <c r="A899" s="118"/>
      <c r="B899" s="118"/>
      <c r="C899" s="118"/>
      <c r="D899" s="118"/>
      <c r="E899" s="118"/>
      <c r="F899" s="250"/>
      <c r="G899" s="250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  <c r="AG899" s="118"/>
    </row>
    <row r="900" ht="15.75" customHeight="1">
      <c r="A900" s="118"/>
      <c r="B900" s="118"/>
      <c r="C900" s="118"/>
      <c r="D900" s="118"/>
      <c r="E900" s="118"/>
      <c r="F900" s="250"/>
      <c r="G900" s="250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  <c r="AG900" s="118"/>
    </row>
    <row r="901" ht="15.75" customHeight="1">
      <c r="A901" s="118"/>
      <c r="B901" s="118"/>
      <c r="C901" s="118"/>
      <c r="D901" s="118"/>
      <c r="E901" s="118"/>
      <c r="F901" s="250"/>
      <c r="G901" s="250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  <c r="AG901" s="118"/>
    </row>
    <row r="902" ht="15.75" customHeight="1">
      <c r="A902" s="118"/>
      <c r="B902" s="118"/>
      <c r="C902" s="118"/>
      <c r="D902" s="118"/>
      <c r="E902" s="118"/>
      <c r="F902" s="250"/>
      <c r="G902" s="250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  <c r="AG902" s="118"/>
    </row>
    <row r="903" ht="15.75" customHeight="1">
      <c r="A903" s="118"/>
      <c r="B903" s="118"/>
      <c r="C903" s="118"/>
      <c r="D903" s="118"/>
      <c r="E903" s="118"/>
      <c r="F903" s="250"/>
      <c r="G903" s="250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  <c r="AG903" s="118"/>
    </row>
    <row r="904" ht="15.75" customHeight="1">
      <c r="A904" s="118"/>
      <c r="B904" s="118"/>
      <c r="C904" s="118"/>
      <c r="D904" s="118"/>
      <c r="E904" s="118"/>
      <c r="F904" s="250"/>
      <c r="G904" s="250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  <c r="AG904" s="118"/>
    </row>
    <row r="905" ht="15.75" customHeight="1">
      <c r="A905" s="118"/>
      <c r="B905" s="118"/>
      <c r="C905" s="118"/>
      <c r="D905" s="118"/>
      <c r="E905" s="118"/>
      <c r="F905" s="250"/>
      <c r="G905" s="250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  <c r="AG905" s="118"/>
    </row>
    <row r="906" ht="15.75" customHeight="1">
      <c r="A906" s="118"/>
      <c r="B906" s="118"/>
      <c r="C906" s="118"/>
      <c r="D906" s="118"/>
      <c r="E906" s="118"/>
      <c r="F906" s="250"/>
      <c r="G906" s="250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  <c r="AG906" s="118"/>
    </row>
    <row r="907" ht="15.75" customHeight="1">
      <c r="A907" s="118"/>
      <c r="B907" s="118"/>
      <c r="C907" s="118"/>
      <c r="D907" s="118"/>
      <c r="E907" s="118"/>
      <c r="F907" s="250"/>
      <c r="G907" s="250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  <c r="AG907" s="118"/>
    </row>
    <row r="908" ht="15.75" customHeight="1">
      <c r="A908" s="118"/>
      <c r="B908" s="118"/>
      <c r="C908" s="118"/>
      <c r="D908" s="118"/>
      <c r="E908" s="118"/>
      <c r="F908" s="250"/>
      <c r="G908" s="250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  <c r="AG908" s="118"/>
    </row>
    <row r="909" ht="15.75" customHeight="1">
      <c r="A909" s="118"/>
      <c r="B909" s="118"/>
      <c r="C909" s="118"/>
      <c r="D909" s="118"/>
      <c r="E909" s="118"/>
      <c r="F909" s="250"/>
      <c r="G909" s="250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  <c r="AG909" s="118"/>
    </row>
    <row r="910" ht="15.75" customHeight="1">
      <c r="A910" s="118"/>
      <c r="B910" s="118"/>
      <c r="C910" s="118"/>
      <c r="D910" s="118"/>
      <c r="E910" s="118"/>
      <c r="F910" s="250"/>
      <c r="G910" s="250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  <c r="AG910" s="118"/>
    </row>
    <row r="911" ht="15.75" customHeight="1">
      <c r="A911" s="118"/>
      <c r="B911" s="118"/>
      <c r="C911" s="118"/>
      <c r="D911" s="118"/>
      <c r="E911" s="118"/>
      <c r="F911" s="250"/>
      <c r="G911" s="250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  <c r="AG911" s="118"/>
    </row>
    <row r="912" ht="15.75" customHeight="1">
      <c r="A912" s="118"/>
      <c r="B912" s="118"/>
      <c r="C912" s="118"/>
      <c r="D912" s="118"/>
      <c r="E912" s="118"/>
      <c r="F912" s="250"/>
      <c r="G912" s="250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  <c r="AG912" s="118"/>
    </row>
    <row r="913" ht="15.75" customHeight="1">
      <c r="A913" s="118"/>
      <c r="B913" s="118"/>
      <c r="C913" s="118"/>
      <c r="D913" s="118"/>
      <c r="E913" s="118"/>
      <c r="F913" s="250"/>
      <c r="G913" s="250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  <c r="AG913" s="118"/>
    </row>
    <row r="914" ht="15.75" customHeight="1">
      <c r="A914" s="118"/>
      <c r="B914" s="118"/>
      <c r="C914" s="118"/>
      <c r="D914" s="118"/>
      <c r="E914" s="118"/>
      <c r="F914" s="250"/>
      <c r="G914" s="250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  <c r="AG914" s="118"/>
    </row>
    <row r="915" ht="15.75" customHeight="1">
      <c r="A915" s="118"/>
      <c r="B915" s="118"/>
      <c r="C915" s="118"/>
      <c r="D915" s="118"/>
      <c r="E915" s="118"/>
      <c r="F915" s="250"/>
      <c r="G915" s="250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  <c r="AG915" s="118"/>
    </row>
    <row r="916" ht="15.75" customHeight="1">
      <c r="A916" s="118"/>
      <c r="B916" s="118"/>
      <c r="C916" s="118"/>
      <c r="D916" s="118"/>
      <c r="E916" s="118"/>
      <c r="F916" s="250"/>
      <c r="G916" s="250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  <c r="AG916" s="118"/>
    </row>
    <row r="917" ht="15.75" customHeight="1">
      <c r="A917" s="118"/>
      <c r="B917" s="118"/>
      <c r="C917" s="118"/>
      <c r="D917" s="118"/>
      <c r="E917" s="118"/>
      <c r="F917" s="250"/>
      <c r="G917" s="250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  <c r="AG917" s="118"/>
    </row>
    <row r="918" ht="15.75" customHeight="1">
      <c r="A918" s="118"/>
      <c r="B918" s="118"/>
      <c r="C918" s="118"/>
      <c r="D918" s="118"/>
      <c r="E918" s="118"/>
      <c r="F918" s="250"/>
      <c r="G918" s="250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  <c r="AG918" s="118"/>
    </row>
    <row r="919" ht="15.75" customHeight="1">
      <c r="A919" s="118"/>
      <c r="B919" s="118"/>
      <c r="C919" s="118"/>
      <c r="D919" s="118"/>
      <c r="E919" s="118"/>
      <c r="F919" s="250"/>
      <c r="G919" s="250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  <c r="AG919" s="118"/>
    </row>
    <row r="920" ht="15.75" customHeight="1">
      <c r="A920" s="118"/>
      <c r="B920" s="118"/>
      <c r="C920" s="118"/>
      <c r="D920" s="118"/>
      <c r="E920" s="118"/>
      <c r="F920" s="250"/>
      <c r="G920" s="250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  <c r="AG920" s="118"/>
    </row>
    <row r="921" ht="15.75" customHeight="1">
      <c r="A921" s="118"/>
      <c r="B921" s="118"/>
      <c r="C921" s="118"/>
      <c r="D921" s="118"/>
      <c r="E921" s="118"/>
      <c r="F921" s="250"/>
      <c r="G921" s="250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  <c r="AG921" s="118"/>
    </row>
    <row r="922" ht="15.75" customHeight="1">
      <c r="A922" s="118"/>
      <c r="B922" s="118"/>
      <c r="C922" s="118"/>
      <c r="D922" s="118"/>
      <c r="E922" s="118"/>
      <c r="F922" s="250"/>
      <c r="G922" s="250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  <c r="AG922" s="118"/>
    </row>
    <row r="923" ht="15.75" customHeight="1">
      <c r="A923" s="118"/>
      <c r="B923" s="118"/>
      <c r="C923" s="118"/>
      <c r="D923" s="118"/>
      <c r="E923" s="118"/>
      <c r="F923" s="250"/>
      <c r="G923" s="250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  <c r="AG923" s="118"/>
    </row>
    <row r="924" ht="15.75" customHeight="1">
      <c r="A924" s="118"/>
      <c r="B924" s="118"/>
      <c r="C924" s="118"/>
      <c r="D924" s="118"/>
      <c r="E924" s="118"/>
      <c r="F924" s="250"/>
      <c r="G924" s="250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  <c r="AG924" s="118"/>
    </row>
    <row r="925" ht="15.75" customHeight="1">
      <c r="A925" s="118"/>
      <c r="B925" s="118"/>
      <c r="C925" s="118"/>
      <c r="D925" s="118"/>
      <c r="E925" s="118"/>
      <c r="F925" s="250"/>
      <c r="G925" s="250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  <c r="AG925" s="118"/>
    </row>
    <row r="926" ht="15.75" customHeight="1">
      <c r="A926" s="118"/>
      <c r="B926" s="118"/>
      <c r="C926" s="118"/>
      <c r="D926" s="118"/>
      <c r="E926" s="118"/>
      <c r="F926" s="250"/>
      <c r="G926" s="250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  <c r="AG926" s="118"/>
    </row>
    <row r="927" ht="15.75" customHeight="1">
      <c r="A927" s="118"/>
      <c r="B927" s="118"/>
      <c r="C927" s="118"/>
      <c r="D927" s="118"/>
      <c r="E927" s="118"/>
      <c r="F927" s="250"/>
      <c r="G927" s="250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  <c r="AG927" s="118"/>
    </row>
    <row r="928" ht="15.75" customHeight="1">
      <c r="A928" s="118"/>
      <c r="B928" s="118"/>
      <c r="C928" s="118"/>
      <c r="D928" s="118"/>
      <c r="E928" s="118"/>
      <c r="F928" s="250"/>
      <c r="G928" s="250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  <c r="AF928" s="118"/>
      <c r="AG928" s="118"/>
    </row>
    <row r="929" ht="15.75" customHeight="1">
      <c r="A929" s="118"/>
      <c r="B929" s="118"/>
      <c r="C929" s="118"/>
      <c r="D929" s="118"/>
      <c r="E929" s="118"/>
      <c r="F929" s="250"/>
      <c r="G929" s="250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  <c r="AF929" s="118"/>
      <c r="AG929" s="118"/>
    </row>
    <row r="930" ht="15.75" customHeight="1">
      <c r="A930" s="118"/>
      <c r="B930" s="118"/>
      <c r="C930" s="118"/>
      <c r="D930" s="118"/>
      <c r="E930" s="118"/>
      <c r="F930" s="250"/>
      <c r="G930" s="250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  <c r="AF930" s="118"/>
      <c r="AG930" s="118"/>
    </row>
    <row r="931" ht="15.75" customHeight="1">
      <c r="A931" s="118"/>
      <c r="B931" s="118"/>
      <c r="C931" s="118"/>
      <c r="D931" s="118"/>
      <c r="E931" s="118"/>
      <c r="F931" s="250"/>
      <c r="G931" s="250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  <c r="AF931" s="118"/>
      <c r="AG931" s="118"/>
    </row>
    <row r="932" ht="15.75" customHeight="1">
      <c r="A932" s="118"/>
      <c r="B932" s="118"/>
      <c r="C932" s="118"/>
      <c r="D932" s="118"/>
      <c r="E932" s="118"/>
      <c r="F932" s="250"/>
      <c r="G932" s="250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  <c r="AF932" s="118"/>
      <c r="AG932" s="118"/>
    </row>
    <row r="933" ht="15.75" customHeight="1">
      <c r="A933" s="118"/>
      <c r="B933" s="118"/>
      <c r="C933" s="118"/>
      <c r="D933" s="118"/>
      <c r="E933" s="118"/>
      <c r="F933" s="250"/>
      <c r="G933" s="250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  <c r="AF933" s="118"/>
      <c r="AG933" s="118"/>
    </row>
    <row r="934" ht="15.75" customHeight="1">
      <c r="A934" s="118"/>
      <c r="B934" s="118"/>
      <c r="C934" s="118"/>
      <c r="D934" s="118"/>
      <c r="E934" s="118"/>
      <c r="F934" s="250"/>
      <c r="G934" s="250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  <c r="AF934" s="118"/>
      <c r="AG934" s="118"/>
    </row>
    <row r="935" ht="15.75" customHeight="1">
      <c r="A935" s="118"/>
      <c r="B935" s="118"/>
      <c r="C935" s="118"/>
      <c r="D935" s="118"/>
      <c r="E935" s="118"/>
      <c r="F935" s="250"/>
      <c r="G935" s="250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  <c r="AF935" s="118"/>
      <c r="AG935" s="118"/>
    </row>
    <row r="936" ht="15.75" customHeight="1">
      <c r="A936" s="118"/>
      <c r="B936" s="118"/>
      <c r="C936" s="118"/>
      <c r="D936" s="118"/>
      <c r="E936" s="118"/>
      <c r="F936" s="250"/>
      <c r="G936" s="250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  <c r="AF936" s="118"/>
      <c r="AG936" s="118"/>
    </row>
    <row r="937" ht="15.75" customHeight="1">
      <c r="A937" s="118"/>
      <c r="B937" s="118"/>
      <c r="C937" s="118"/>
      <c r="D937" s="118"/>
      <c r="E937" s="118"/>
      <c r="F937" s="250"/>
      <c r="G937" s="250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  <c r="AF937" s="118"/>
      <c r="AG937" s="118"/>
    </row>
    <row r="938" ht="15.75" customHeight="1">
      <c r="A938" s="118"/>
      <c r="B938" s="118"/>
      <c r="C938" s="118"/>
      <c r="D938" s="118"/>
      <c r="E938" s="118"/>
      <c r="F938" s="250"/>
      <c r="G938" s="250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  <c r="AF938" s="118"/>
      <c r="AG938" s="118"/>
    </row>
    <row r="939" ht="15.75" customHeight="1">
      <c r="A939" s="118"/>
      <c r="B939" s="118"/>
      <c r="C939" s="118"/>
      <c r="D939" s="118"/>
      <c r="E939" s="118"/>
      <c r="F939" s="250"/>
      <c r="G939" s="250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  <c r="AF939" s="118"/>
      <c r="AG939" s="118"/>
    </row>
    <row r="940" ht="15.75" customHeight="1">
      <c r="A940" s="118"/>
      <c r="B940" s="118"/>
      <c r="C940" s="118"/>
      <c r="D940" s="118"/>
      <c r="E940" s="118"/>
      <c r="F940" s="250"/>
      <c r="G940" s="250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  <c r="AF940" s="118"/>
      <c r="AG940" s="118"/>
    </row>
    <row r="941" ht="15.75" customHeight="1">
      <c r="A941" s="118"/>
      <c r="B941" s="118"/>
      <c r="C941" s="118"/>
      <c r="D941" s="118"/>
      <c r="E941" s="118"/>
      <c r="F941" s="250"/>
      <c r="G941" s="250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  <c r="AF941" s="118"/>
      <c r="AG941" s="118"/>
    </row>
    <row r="942" ht="15.75" customHeight="1">
      <c r="A942" s="118"/>
      <c r="B942" s="118"/>
      <c r="C942" s="118"/>
      <c r="D942" s="118"/>
      <c r="E942" s="118"/>
      <c r="F942" s="250"/>
      <c r="G942" s="250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  <c r="AF942" s="118"/>
      <c r="AG942" s="118"/>
    </row>
    <row r="943" ht="15.75" customHeight="1">
      <c r="A943" s="118"/>
      <c r="B943" s="118"/>
      <c r="C943" s="118"/>
      <c r="D943" s="118"/>
      <c r="E943" s="118"/>
      <c r="F943" s="250"/>
      <c r="G943" s="250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  <c r="AF943" s="118"/>
      <c r="AG943" s="118"/>
    </row>
    <row r="944" ht="15.75" customHeight="1">
      <c r="A944" s="118"/>
      <c r="B944" s="118"/>
      <c r="C944" s="118"/>
      <c r="D944" s="118"/>
      <c r="E944" s="118"/>
      <c r="F944" s="250"/>
      <c r="G944" s="250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  <c r="AG944" s="118"/>
    </row>
    <row r="945" ht="15.75" customHeight="1">
      <c r="A945" s="118"/>
      <c r="B945" s="118"/>
      <c r="C945" s="118"/>
      <c r="D945" s="118"/>
      <c r="E945" s="118"/>
      <c r="F945" s="250"/>
      <c r="G945" s="250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  <c r="AG945" s="118"/>
    </row>
    <row r="946" ht="15.75" customHeight="1">
      <c r="A946" s="118"/>
      <c r="B946" s="118"/>
      <c r="C946" s="118"/>
      <c r="D946" s="118"/>
      <c r="E946" s="118"/>
      <c r="F946" s="250"/>
      <c r="G946" s="250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  <c r="AG946" s="118"/>
    </row>
    <row r="947" ht="15.75" customHeight="1">
      <c r="A947" s="118"/>
      <c r="B947" s="118"/>
      <c r="C947" s="118"/>
      <c r="D947" s="118"/>
      <c r="E947" s="118"/>
      <c r="F947" s="250"/>
      <c r="G947" s="250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  <c r="AG947" s="118"/>
    </row>
    <row r="948" ht="15.75" customHeight="1">
      <c r="A948" s="118"/>
      <c r="B948" s="118"/>
      <c r="C948" s="118"/>
      <c r="D948" s="118"/>
      <c r="E948" s="118"/>
      <c r="F948" s="250"/>
      <c r="G948" s="250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  <c r="AG948" s="118"/>
    </row>
    <row r="949" ht="15.75" customHeight="1">
      <c r="A949" s="118"/>
      <c r="B949" s="118"/>
      <c r="C949" s="118"/>
      <c r="D949" s="118"/>
      <c r="E949" s="118"/>
      <c r="F949" s="250"/>
      <c r="G949" s="250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  <c r="AG949" s="118"/>
    </row>
    <row r="950" ht="15.75" customHeight="1">
      <c r="A950" s="118"/>
      <c r="B950" s="118"/>
      <c r="C950" s="118"/>
      <c r="D950" s="118"/>
      <c r="E950" s="118"/>
      <c r="F950" s="250"/>
      <c r="G950" s="250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  <c r="AG950" s="118"/>
    </row>
    <row r="951" ht="15.75" customHeight="1">
      <c r="A951" s="118"/>
      <c r="B951" s="118"/>
      <c r="C951" s="118"/>
      <c r="D951" s="118"/>
      <c r="E951" s="118"/>
      <c r="F951" s="250"/>
      <c r="G951" s="250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  <c r="AG951" s="118"/>
    </row>
    <row r="952" ht="15.75" customHeight="1">
      <c r="A952" s="118"/>
      <c r="B952" s="118"/>
      <c r="C952" s="118"/>
      <c r="D952" s="118"/>
      <c r="E952" s="118"/>
      <c r="F952" s="250"/>
      <c r="G952" s="250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  <c r="AG952" s="118"/>
    </row>
    <row r="953" ht="15.75" customHeight="1">
      <c r="A953" s="118"/>
      <c r="B953" s="118"/>
      <c r="C953" s="118"/>
      <c r="D953" s="118"/>
      <c r="E953" s="118"/>
      <c r="F953" s="250"/>
      <c r="G953" s="250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  <c r="AG953" s="118"/>
    </row>
    <row r="954" ht="15.75" customHeight="1">
      <c r="A954" s="118"/>
      <c r="B954" s="118"/>
      <c r="C954" s="118"/>
      <c r="D954" s="118"/>
      <c r="E954" s="118"/>
      <c r="F954" s="250"/>
      <c r="G954" s="250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  <c r="AG954" s="118"/>
    </row>
    <row r="955" ht="15.75" customHeight="1">
      <c r="A955" s="118"/>
      <c r="B955" s="118"/>
      <c r="C955" s="118"/>
      <c r="D955" s="118"/>
      <c r="E955" s="118"/>
      <c r="F955" s="250"/>
      <c r="G955" s="250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  <c r="AG955" s="118"/>
    </row>
    <row r="956" ht="15.75" customHeight="1">
      <c r="A956" s="118"/>
      <c r="B956" s="118"/>
      <c r="C956" s="118"/>
      <c r="D956" s="118"/>
      <c r="E956" s="118"/>
      <c r="F956" s="250"/>
      <c r="G956" s="250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  <c r="AG956" s="118"/>
    </row>
    <row r="957" ht="15.75" customHeight="1">
      <c r="A957" s="118"/>
      <c r="B957" s="118"/>
      <c r="C957" s="118"/>
      <c r="D957" s="118"/>
      <c r="E957" s="118"/>
      <c r="F957" s="250"/>
      <c r="G957" s="250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  <c r="AG957" s="118"/>
    </row>
    <row r="958" ht="15.75" customHeight="1">
      <c r="A958" s="118"/>
      <c r="B958" s="118"/>
      <c r="C958" s="118"/>
      <c r="D958" s="118"/>
      <c r="E958" s="118"/>
      <c r="F958" s="250"/>
      <c r="G958" s="250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  <c r="AG958" s="118"/>
    </row>
    <row r="959" ht="15.75" customHeight="1">
      <c r="A959" s="118"/>
      <c r="B959" s="118"/>
      <c r="C959" s="118"/>
      <c r="D959" s="118"/>
      <c r="E959" s="118"/>
      <c r="F959" s="250"/>
      <c r="G959" s="250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  <c r="AG959" s="118"/>
    </row>
    <row r="960" ht="15.75" customHeight="1">
      <c r="A960" s="118"/>
      <c r="B960" s="118"/>
      <c r="C960" s="118"/>
      <c r="D960" s="118"/>
      <c r="E960" s="118"/>
      <c r="F960" s="250"/>
      <c r="G960" s="250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  <c r="AG960" s="118"/>
    </row>
    <row r="961" ht="15.75" customHeight="1">
      <c r="A961" s="118"/>
      <c r="B961" s="118"/>
      <c r="C961" s="118"/>
      <c r="D961" s="118"/>
      <c r="E961" s="118"/>
      <c r="F961" s="250"/>
      <c r="G961" s="250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  <c r="AG961" s="118"/>
    </row>
    <row r="962" ht="15.75" customHeight="1">
      <c r="A962" s="118"/>
      <c r="B962" s="118"/>
      <c r="C962" s="118"/>
      <c r="D962" s="118"/>
      <c r="E962" s="118"/>
      <c r="F962" s="250"/>
      <c r="G962" s="250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  <c r="AG962" s="118"/>
    </row>
    <row r="963" ht="15.75" customHeight="1">
      <c r="A963" s="118"/>
      <c r="B963" s="118"/>
      <c r="C963" s="118"/>
      <c r="D963" s="118"/>
      <c r="E963" s="118"/>
      <c r="F963" s="250"/>
      <c r="G963" s="250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  <c r="AG963" s="118"/>
    </row>
    <row r="964" ht="15.75" customHeight="1">
      <c r="A964" s="118"/>
      <c r="B964" s="118"/>
      <c r="C964" s="118"/>
      <c r="D964" s="118"/>
      <c r="E964" s="118"/>
      <c r="F964" s="250"/>
      <c r="G964" s="250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  <c r="AG964" s="118"/>
    </row>
    <row r="965" ht="15.75" customHeight="1">
      <c r="A965" s="118"/>
      <c r="B965" s="118"/>
      <c r="C965" s="118"/>
      <c r="D965" s="118"/>
      <c r="E965" s="118"/>
      <c r="F965" s="250"/>
      <c r="G965" s="250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  <c r="AG965" s="118"/>
    </row>
    <row r="966" ht="15.75" customHeight="1">
      <c r="A966" s="118"/>
      <c r="B966" s="118"/>
      <c r="C966" s="118"/>
      <c r="D966" s="118"/>
      <c r="E966" s="118"/>
      <c r="F966" s="250"/>
      <c r="G966" s="250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  <c r="AG966" s="118"/>
    </row>
    <row r="967" ht="15.75" customHeight="1">
      <c r="A967" s="118"/>
      <c r="B967" s="118"/>
      <c r="C967" s="118"/>
      <c r="D967" s="118"/>
      <c r="E967" s="118"/>
      <c r="F967" s="250"/>
      <c r="G967" s="250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  <c r="AG967" s="118"/>
    </row>
    <row r="968" ht="15.75" customHeight="1">
      <c r="A968" s="118"/>
      <c r="B968" s="118"/>
      <c r="C968" s="118"/>
      <c r="D968" s="118"/>
      <c r="E968" s="118"/>
      <c r="F968" s="250"/>
      <c r="G968" s="250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  <c r="AG968" s="118"/>
    </row>
    <row r="969" ht="15.75" customHeight="1">
      <c r="A969" s="118"/>
      <c r="B969" s="118"/>
      <c r="C969" s="118"/>
      <c r="D969" s="118"/>
      <c r="E969" s="118"/>
      <c r="F969" s="250"/>
      <c r="G969" s="250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  <c r="AG969" s="118"/>
    </row>
    <row r="970" ht="15.75" customHeight="1">
      <c r="A970" s="118"/>
      <c r="B970" s="118"/>
      <c r="C970" s="118"/>
      <c r="D970" s="118"/>
      <c r="E970" s="118"/>
      <c r="F970" s="250"/>
      <c r="G970" s="250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  <c r="AG970" s="118"/>
    </row>
    <row r="971" ht="15.75" customHeight="1">
      <c r="A971" s="118"/>
      <c r="B971" s="118"/>
      <c r="C971" s="118"/>
      <c r="D971" s="118"/>
      <c r="E971" s="118"/>
      <c r="F971" s="250"/>
      <c r="G971" s="250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  <c r="AG971" s="118"/>
    </row>
    <row r="972" ht="15.75" customHeight="1">
      <c r="A972" s="118"/>
      <c r="B972" s="118"/>
      <c r="C972" s="118"/>
      <c r="D972" s="118"/>
      <c r="E972" s="118"/>
      <c r="F972" s="250"/>
      <c r="G972" s="250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  <c r="AG972" s="118"/>
    </row>
    <row r="973" ht="15.75" customHeight="1">
      <c r="A973" s="118"/>
      <c r="B973" s="118"/>
      <c r="C973" s="118"/>
      <c r="D973" s="118"/>
      <c r="E973" s="118"/>
      <c r="F973" s="250"/>
      <c r="G973" s="250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  <c r="AG973" s="118"/>
    </row>
    <row r="974" ht="15.75" customHeight="1">
      <c r="A974" s="118"/>
      <c r="B974" s="118"/>
      <c r="C974" s="118"/>
      <c r="D974" s="118"/>
      <c r="E974" s="118"/>
      <c r="F974" s="250"/>
      <c r="G974" s="250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  <c r="AG974" s="118"/>
    </row>
    <row r="975" ht="15.75" customHeight="1">
      <c r="A975" s="118"/>
      <c r="B975" s="118"/>
      <c r="C975" s="118"/>
      <c r="D975" s="118"/>
      <c r="E975" s="118"/>
      <c r="F975" s="250"/>
      <c r="G975" s="250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  <c r="AG975" s="118"/>
    </row>
    <row r="976" ht="15.75" customHeight="1">
      <c r="A976" s="118"/>
      <c r="B976" s="118"/>
      <c r="C976" s="118"/>
      <c r="D976" s="118"/>
      <c r="E976" s="118"/>
      <c r="F976" s="250"/>
      <c r="G976" s="250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  <c r="AG976" s="118"/>
    </row>
    <row r="977" ht="15.75" customHeight="1">
      <c r="A977" s="118"/>
      <c r="B977" s="118"/>
      <c r="C977" s="118"/>
      <c r="D977" s="118"/>
      <c r="E977" s="118"/>
      <c r="F977" s="250"/>
      <c r="G977" s="250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  <c r="AG977" s="118"/>
    </row>
    <row r="978" ht="15.75" customHeight="1">
      <c r="A978" s="118"/>
      <c r="B978" s="118"/>
      <c r="C978" s="118"/>
      <c r="D978" s="118"/>
      <c r="E978" s="118"/>
      <c r="F978" s="250"/>
      <c r="G978" s="250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  <c r="AG978" s="118"/>
    </row>
    <row r="979" ht="15.75" customHeight="1">
      <c r="A979" s="118"/>
      <c r="B979" s="118"/>
      <c r="C979" s="118"/>
      <c r="D979" s="118"/>
      <c r="E979" s="118"/>
      <c r="F979" s="250"/>
      <c r="G979" s="250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  <c r="AG979" s="118"/>
    </row>
    <row r="980" ht="15.75" customHeight="1">
      <c r="A980" s="118"/>
      <c r="B980" s="118"/>
      <c r="C980" s="118"/>
      <c r="D980" s="118"/>
      <c r="E980" s="118"/>
      <c r="F980" s="250"/>
      <c r="G980" s="250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  <c r="AG980" s="118"/>
    </row>
    <row r="981" ht="15.75" customHeight="1">
      <c r="A981" s="118"/>
      <c r="B981" s="118"/>
      <c r="C981" s="118"/>
      <c r="D981" s="118"/>
      <c r="E981" s="118"/>
      <c r="F981" s="250"/>
      <c r="G981" s="250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  <c r="AG981" s="118"/>
    </row>
    <row r="982" ht="15.75" customHeight="1">
      <c r="A982" s="118"/>
      <c r="B982" s="118"/>
      <c r="C982" s="118"/>
      <c r="D982" s="118"/>
      <c r="E982" s="118"/>
      <c r="F982" s="250"/>
      <c r="G982" s="250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  <c r="AG982" s="118"/>
    </row>
    <row r="983" ht="15.75" customHeight="1">
      <c r="A983" s="118"/>
      <c r="B983" s="118"/>
      <c r="C983" s="118"/>
      <c r="D983" s="118"/>
      <c r="E983" s="118"/>
      <c r="F983" s="250"/>
      <c r="G983" s="250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  <c r="AG983" s="118"/>
    </row>
    <row r="984" ht="15.75" customHeight="1">
      <c r="A984" s="118"/>
      <c r="B984" s="118"/>
      <c r="C984" s="118"/>
      <c r="D984" s="118"/>
      <c r="E984" s="118"/>
      <c r="F984" s="250"/>
      <c r="G984" s="250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  <c r="AG984" s="118"/>
    </row>
    <row r="985" ht="15.75" customHeight="1">
      <c r="A985" s="118"/>
      <c r="B985" s="118"/>
      <c r="C985" s="118"/>
      <c r="D985" s="118"/>
      <c r="E985" s="118"/>
      <c r="F985" s="250"/>
      <c r="G985" s="250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  <c r="AG985" s="118"/>
    </row>
    <row r="986" ht="15.75" customHeight="1">
      <c r="A986" s="118"/>
      <c r="B986" s="118"/>
      <c r="C986" s="118"/>
      <c r="D986" s="118"/>
      <c r="E986" s="118"/>
      <c r="F986" s="250"/>
      <c r="G986" s="250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  <c r="AG986" s="118"/>
    </row>
    <row r="987" ht="15.75" customHeight="1">
      <c r="A987" s="118"/>
      <c r="B987" s="118"/>
      <c r="C987" s="118"/>
      <c r="D987" s="118"/>
      <c r="E987" s="118"/>
      <c r="F987" s="250"/>
      <c r="G987" s="250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  <c r="AG987" s="118"/>
    </row>
    <row r="988" ht="15.75" customHeight="1">
      <c r="A988" s="118"/>
      <c r="B988" s="118"/>
      <c r="C988" s="118"/>
      <c r="D988" s="118"/>
      <c r="E988" s="118"/>
      <c r="F988" s="250"/>
      <c r="G988" s="250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  <c r="AG988" s="118"/>
    </row>
    <row r="989" ht="15.75" customHeight="1">
      <c r="A989" s="118"/>
      <c r="B989" s="118"/>
      <c r="C989" s="118"/>
      <c r="D989" s="118"/>
      <c r="E989" s="118"/>
      <c r="F989" s="250"/>
      <c r="G989" s="250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  <c r="AF989" s="118"/>
      <c r="AG989" s="118"/>
    </row>
    <row r="990" ht="15.75" customHeight="1">
      <c r="A990" s="118"/>
      <c r="B990" s="118"/>
      <c r="C990" s="118"/>
      <c r="D990" s="118"/>
      <c r="E990" s="118"/>
      <c r="F990" s="250"/>
      <c r="G990" s="250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  <c r="AG990" s="118"/>
    </row>
    <row r="991" ht="15.75" customHeight="1">
      <c r="A991" s="118"/>
      <c r="B991" s="118"/>
      <c r="C991" s="118"/>
      <c r="D991" s="118"/>
      <c r="E991" s="118"/>
      <c r="F991" s="250"/>
      <c r="G991" s="250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  <c r="AF991" s="118"/>
      <c r="AG991" s="118"/>
    </row>
    <row r="992" ht="15.75" customHeight="1">
      <c r="A992" s="118"/>
      <c r="B992" s="118"/>
      <c r="C992" s="118"/>
      <c r="D992" s="118"/>
      <c r="E992" s="118"/>
      <c r="F992" s="250"/>
      <c r="G992" s="250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  <c r="AF992" s="118"/>
      <c r="AG992" s="118"/>
    </row>
    <row r="993" ht="15.75" customHeight="1">
      <c r="A993" s="118"/>
      <c r="B993" s="118"/>
      <c r="C993" s="118"/>
      <c r="D993" s="118"/>
      <c r="E993" s="118"/>
      <c r="F993" s="250"/>
      <c r="G993" s="250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  <c r="AF993" s="118"/>
      <c r="AG993" s="118"/>
    </row>
    <row r="994" ht="15.75" customHeight="1">
      <c r="A994" s="118"/>
      <c r="B994" s="118"/>
      <c r="C994" s="118"/>
      <c r="D994" s="118"/>
      <c r="E994" s="118"/>
      <c r="F994" s="250"/>
      <c r="G994" s="250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  <c r="AF994" s="118"/>
      <c r="AG994" s="118"/>
    </row>
    <row r="995" ht="15.75" customHeight="1">
      <c r="A995" s="118"/>
      <c r="B995" s="118"/>
      <c r="C995" s="118"/>
      <c r="D995" s="118"/>
      <c r="E995" s="118"/>
      <c r="F995" s="250"/>
      <c r="G995" s="250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  <c r="AF995" s="118"/>
      <c r="AG995" s="118"/>
    </row>
    <row r="996" ht="15.75" customHeight="1">
      <c r="A996" s="118"/>
      <c r="B996" s="118"/>
      <c r="C996" s="118"/>
      <c r="D996" s="118"/>
      <c r="E996" s="118"/>
      <c r="F996" s="250"/>
      <c r="G996" s="250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  <c r="AF996" s="118"/>
      <c r="AG996" s="118"/>
    </row>
    <row r="997" ht="15.75" customHeight="1">
      <c r="A997" s="118"/>
      <c r="B997" s="118"/>
      <c r="C997" s="118"/>
      <c r="D997" s="118"/>
      <c r="E997" s="118"/>
      <c r="F997" s="250"/>
      <c r="G997" s="250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  <c r="AF997" s="118"/>
      <c r="AG997" s="118"/>
    </row>
    <row r="998" ht="15.75" customHeight="1">
      <c r="A998" s="118"/>
      <c r="B998" s="118"/>
      <c r="C998" s="118"/>
      <c r="D998" s="118"/>
      <c r="E998" s="118"/>
      <c r="F998" s="250"/>
      <c r="G998" s="250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  <c r="AF998" s="118"/>
      <c r="AG998" s="118"/>
    </row>
    <row r="999" ht="15.75" customHeight="1">
      <c r="A999" s="118"/>
      <c r="B999" s="118"/>
      <c r="C999" s="118"/>
      <c r="D999" s="118"/>
      <c r="E999" s="118"/>
      <c r="F999" s="250"/>
      <c r="G999" s="250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  <c r="AE999" s="118"/>
      <c r="AF999" s="118"/>
      <c r="AG999" s="118"/>
    </row>
    <row r="1000" ht="15.75" customHeight="1">
      <c r="A1000" s="118"/>
      <c r="B1000" s="118"/>
      <c r="C1000" s="118"/>
      <c r="D1000" s="118"/>
      <c r="E1000" s="118"/>
      <c r="F1000" s="250"/>
      <c r="G1000" s="250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18"/>
      <c r="AC1000" s="118"/>
      <c r="AD1000" s="118"/>
      <c r="AE1000" s="118"/>
      <c r="AF1000" s="118"/>
      <c r="AG1000" s="118"/>
    </row>
    <row r="1001" ht="15.75" customHeight="1">
      <c r="A1001" s="118"/>
      <c r="B1001" s="118"/>
      <c r="C1001" s="118"/>
      <c r="D1001" s="118"/>
      <c r="E1001" s="118"/>
      <c r="F1001" s="250"/>
      <c r="G1001" s="250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  <c r="AA1001" s="118"/>
      <c r="AB1001" s="118"/>
      <c r="AC1001" s="118"/>
      <c r="AD1001" s="118"/>
      <c r="AE1001" s="118"/>
      <c r="AF1001" s="118"/>
      <c r="AG1001" s="118"/>
    </row>
    <row r="1002" ht="15.75" customHeight="1">
      <c r="A1002" s="118"/>
      <c r="B1002" s="118"/>
      <c r="C1002" s="118"/>
      <c r="D1002" s="118"/>
      <c r="E1002" s="118"/>
      <c r="F1002" s="250"/>
      <c r="G1002" s="250"/>
      <c r="H1002" s="118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  <c r="AA1002" s="118"/>
      <c r="AB1002" s="118"/>
      <c r="AC1002" s="118"/>
      <c r="AD1002" s="118"/>
      <c r="AE1002" s="118"/>
      <c r="AF1002" s="118"/>
      <c r="AG1002" s="118"/>
    </row>
    <row r="1003" ht="15.75" customHeight="1">
      <c r="A1003" s="118"/>
      <c r="B1003" s="118"/>
      <c r="C1003" s="118"/>
      <c r="D1003" s="118"/>
      <c r="E1003" s="118"/>
      <c r="F1003" s="250"/>
      <c r="G1003" s="250"/>
      <c r="H1003" s="118"/>
      <c r="I1003" s="118"/>
      <c r="J1003" s="118"/>
      <c r="K1003" s="118"/>
      <c r="L1003" s="118"/>
      <c r="M1003" s="118"/>
      <c r="N1003" s="118"/>
      <c r="O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  <c r="Y1003" s="118"/>
      <c r="Z1003" s="118"/>
      <c r="AA1003" s="118"/>
      <c r="AB1003" s="118"/>
      <c r="AC1003" s="118"/>
      <c r="AD1003" s="118"/>
      <c r="AE1003" s="118"/>
      <c r="AF1003" s="118"/>
      <c r="AG1003" s="118"/>
    </row>
    <row r="1004" ht="15.75" customHeight="1">
      <c r="A1004" s="118"/>
      <c r="B1004" s="118"/>
      <c r="C1004" s="118"/>
      <c r="D1004" s="118"/>
      <c r="E1004" s="118"/>
      <c r="F1004" s="250"/>
      <c r="G1004" s="250"/>
      <c r="H1004" s="118"/>
      <c r="I1004" s="118"/>
      <c r="J1004" s="118"/>
      <c r="K1004" s="118"/>
      <c r="L1004" s="118"/>
      <c r="M1004" s="118"/>
      <c r="N1004" s="118"/>
      <c r="O1004" s="118"/>
      <c r="P1004" s="118"/>
      <c r="Q1004" s="118"/>
      <c r="R1004" s="118"/>
      <c r="S1004" s="118"/>
      <c r="T1004" s="118"/>
      <c r="U1004" s="118"/>
      <c r="V1004" s="118"/>
      <c r="W1004" s="118"/>
      <c r="X1004" s="118"/>
      <c r="Y1004" s="118"/>
      <c r="Z1004" s="118"/>
      <c r="AA1004" s="118"/>
      <c r="AB1004" s="118"/>
      <c r="AC1004" s="118"/>
      <c r="AD1004" s="118"/>
      <c r="AE1004" s="118"/>
      <c r="AF1004" s="118"/>
      <c r="AG1004" s="118"/>
    </row>
    <row r="1005" ht="15.75" customHeight="1">
      <c r="A1005" s="118"/>
      <c r="B1005" s="118"/>
      <c r="C1005" s="118"/>
      <c r="D1005" s="118"/>
      <c r="E1005" s="118"/>
      <c r="F1005" s="250"/>
      <c r="G1005" s="250"/>
      <c r="H1005" s="118"/>
      <c r="I1005" s="118"/>
      <c r="J1005" s="118"/>
      <c r="K1005" s="118"/>
      <c r="L1005" s="118"/>
      <c r="M1005" s="118"/>
      <c r="N1005" s="118"/>
      <c r="O1005" s="118"/>
      <c r="P1005" s="118"/>
      <c r="Q1005" s="118"/>
      <c r="R1005" s="118"/>
      <c r="S1005" s="118"/>
      <c r="T1005" s="118"/>
      <c r="U1005" s="118"/>
      <c r="V1005" s="118"/>
      <c r="W1005" s="118"/>
      <c r="X1005" s="118"/>
      <c r="Y1005" s="118"/>
      <c r="Z1005" s="118"/>
      <c r="AA1005" s="118"/>
      <c r="AB1005" s="118"/>
      <c r="AC1005" s="118"/>
      <c r="AD1005" s="118"/>
      <c r="AE1005" s="118"/>
      <c r="AF1005" s="118"/>
      <c r="AG1005" s="118"/>
    </row>
    <row r="1006" ht="15.75" customHeight="1">
      <c r="A1006" s="118"/>
      <c r="B1006" s="118"/>
      <c r="C1006" s="118"/>
      <c r="D1006" s="118"/>
      <c r="E1006" s="118"/>
      <c r="F1006" s="250"/>
      <c r="G1006" s="250"/>
      <c r="H1006" s="118"/>
      <c r="I1006" s="118"/>
      <c r="J1006" s="118"/>
      <c r="K1006" s="118"/>
      <c r="L1006" s="118"/>
      <c r="M1006" s="118"/>
      <c r="N1006" s="118"/>
      <c r="O1006" s="118"/>
      <c r="P1006" s="118"/>
      <c r="Q1006" s="118"/>
      <c r="R1006" s="118"/>
      <c r="S1006" s="118"/>
      <c r="T1006" s="118"/>
      <c r="U1006" s="118"/>
      <c r="V1006" s="118"/>
      <c r="W1006" s="118"/>
      <c r="X1006" s="118"/>
      <c r="Y1006" s="118"/>
      <c r="Z1006" s="118"/>
      <c r="AA1006" s="118"/>
      <c r="AB1006" s="118"/>
      <c r="AC1006" s="118"/>
      <c r="AD1006" s="118"/>
      <c r="AE1006" s="118"/>
      <c r="AF1006" s="118"/>
      <c r="AG1006" s="118"/>
    </row>
    <row r="1007" ht="15.75" customHeight="1">
      <c r="A1007" s="118"/>
      <c r="B1007" s="118"/>
      <c r="C1007" s="118"/>
      <c r="D1007" s="118"/>
      <c r="E1007" s="118"/>
      <c r="F1007" s="250"/>
      <c r="G1007" s="250"/>
      <c r="H1007" s="118"/>
      <c r="I1007" s="118"/>
      <c r="J1007" s="118"/>
      <c r="K1007" s="118"/>
      <c r="L1007" s="118"/>
      <c r="M1007" s="118"/>
      <c r="N1007" s="118"/>
      <c r="O1007" s="118"/>
      <c r="P1007" s="118"/>
      <c r="Q1007" s="118"/>
      <c r="R1007" s="118"/>
      <c r="S1007" s="118"/>
      <c r="T1007" s="118"/>
      <c r="U1007" s="118"/>
      <c r="V1007" s="118"/>
      <c r="W1007" s="118"/>
      <c r="X1007" s="118"/>
      <c r="Y1007" s="118"/>
      <c r="Z1007" s="118"/>
      <c r="AA1007" s="118"/>
      <c r="AB1007" s="118"/>
      <c r="AC1007" s="118"/>
      <c r="AD1007" s="118"/>
      <c r="AE1007" s="118"/>
      <c r="AF1007" s="118"/>
      <c r="AG1007" s="118"/>
    </row>
  </sheetData>
  <mergeCells count="26">
    <mergeCell ref="B1:J1"/>
    <mergeCell ref="K1:M1"/>
    <mergeCell ref="R2:S2"/>
    <mergeCell ref="R3:S3"/>
    <mergeCell ref="R4:S4"/>
    <mergeCell ref="R5:S5"/>
    <mergeCell ref="W6:AG6"/>
    <mergeCell ref="R6:S6"/>
    <mergeCell ref="R7:S7"/>
    <mergeCell ref="R8:S8"/>
    <mergeCell ref="R9:S9"/>
    <mergeCell ref="R11:S11"/>
    <mergeCell ref="R12:S12"/>
    <mergeCell ref="R13:S13"/>
    <mergeCell ref="R24:S24"/>
    <mergeCell ref="R25:S25"/>
    <mergeCell ref="R26:S26"/>
    <mergeCell ref="R27:S27"/>
    <mergeCell ref="Q33:S33"/>
    <mergeCell ref="R14:S14"/>
    <mergeCell ref="R15:S15"/>
    <mergeCell ref="R16:S16"/>
    <mergeCell ref="R17:S17"/>
    <mergeCell ref="R18:S18"/>
    <mergeCell ref="R19:S19"/>
    <mergeCell ref="Q23:S23"/>
  </mergeCells>
  <printOptions/>
  <pageMargins bottom="0.75" footer="0.0" header="0.0" left="0.25" right="0.25" top="0.75"/>
  <pageSetup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1.14"/>
    <col customWidth="1" min="2" max="2" width="14.71"/>
    <col customWidth="1" min="3" max="3" width="15.0"/>
    <col customWidth="1" min="4" max="4" width="21.57"/>
    <col customWidth="1" min="5" max="5" width="13.29"/>
    <col customWidth="1" min="6" max="6" width="7.43"/>
    <col customWidth="1" min="7" max="7" width="13.29"/>
    <col customWidth="1" min="8" max="8" width="13.43"/>
    <col customWidth="1" min="9" max="9" width="5.86"/>
    <col customWidth="1" min="10" max="10" width="19.0"/>
    <col customWidth="1" min="11" max="11" width="8.29"/>
    <col customWidth="1" min="12" max="12" width="6.71"/>
    <col customWidth="1" min="13" max="13" width="8.29"/>
    <col customWidth="1" min="14" max="15" width="7.14"/>
    <col customWidth="1" min="16" max="16" width="18.57"/>
    <col customWidth="1" min="17" max="18" width="15.57"/>
    <col customWidth="1" min="19" max="19" width="8.86"/>
    <col customWidth="1" min="20" max="20" width="11.71"/>
    <col customWidth="1" min="21" max="34" width="8.86"/>
  </cols>
  <sheetData>
    <row r="1" ht="40.5" customHeight="1">
      <c r="A1" s="1"/>
      <c r="B1" s="2" t="s">
        <v>528</v>
      </c>
      <c r="C1" s="3"/>
      <c r="D1" s="3"/>
      <c r="E1" s="3"/>
      <c r="F1" s="3"/>
      <c r="G1" s="3"/>
      <c r="H1" s="3"/>
      <c r="I1" s="3"/>
      <c r="J1" s="4"/>
      <c r="K1" s="5" t="s">
        <v>1</v>
      </c>
      <c r="L1" s="3"/>
      <c r="M1" s="4"/>
      <c r="N1" s="6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</row>
    <row r="2" ht="38.25" customHeight="1">
      <c r="A2" s="8" t="s">
        <v>2</v>
      </c>
      <c r="B2" s="11" t="s">
        <v>3</v>
      </c>
      <c r="C2" s="12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3" t="s">
        <v>12</v>
      </c>
      <c r="L2" s="13" t="s">
        <v>13</v>
      </c>
      <c r="M2" s="159" t="s">
        <v>14</v>
      </c>
      <c r="N2" s="14" t="s">
        <v>15</v>
      </c>
      <c r="O2" s="264" t="s">
        <v>312</v>
      </c>
      <c r="P2" s="265"/>
      <c r="Q2" s="123" t="s">
        <v>17</v>
      </c>
      <c r="R2" s="266"/>
      <c r="S2" s="124" t="s">
        <v>18</v>
      </c>
      <c r="T2" s="53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</row>
    <row r="3" outlineLevel="1">
      <c r="A3" s="106" t="b">
        <v>0</v>
      </c>
      <c r="B3" s="140" t="s">
        <v>383</v>
      </c>
      <c r="C3" s="86" t="s">
        <v>20</v>
      </c>
      <c r="D3" s="86" t="s">
        <v>21</v>
      </c>
      <c r="E3" s="86">
        <v>32.0</v>
      </c>
      <c r="F3" s="140">
        <v>2.0</v>
      </c>
      <c r="G3" s="140" t="s">
        <v>37</v>
      </c>
      <c r="H3" s="140" t="s">
        <v>31</v>
      </c>
      <c r="I3" s="140" t="s">
        <v>31</v>
      </c>
      <c r="J3" s="187" t="s">
        <v>529</v>
      </c>
      <c r="K3" s="106" t="b">
        <v>1</v>
      </c>
      <c r="L3" s="106" t="b">
        <v>1</v>
      </c>
      <c r="M3" s="267" t="b">
        <v>1</v>
      </c>
      <c r="N3" s="268" t="b">
        <v>1</v>
      </c>
      <c r="O3" s="268" t="b">
        <v>1</v>
      </c>
      <c r="P3" s="140"/>
      <c r="Q3" s="181" t="s">
        <v>27</v>
      </c>
      <c r="R3" s="181"/>
      <c r="S3" s="186" t="s">
        <v>28</v>
      </c>
      <c r="T3" s="33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</row>
    <row r="4" outlineLevel="1">
      <c r="A4" s="19" t="b">
        <v>0</v>
      </c>
      <c r="B4" s="86" t="s">
        <v>327</v>
      </c>
      <c r="C4" s="86" t="s">
        <v>20</v>
      </c>
      <c r="D4" s="86" t="s">
        <v>21</v>
      </c>
      <c r="E4" s="86">
        <v>2.0</v>
      </c>
      <c r="F4" s="86">
        <v>2.0</v>
      </c>
      <c r="G4" s="86" t="s">
        <v>70</v>
      </c>
      <c r="H4" s="86" t="s">
        <v>23</v>
      </c>
      <c r="I4" s="86" t="s">
        <v>23</v>
      </c>
      <c r="J4" s="165" t="s">
        <v>529</v>
      </c>
      <c r="K4" s="19" t="b">
        <v>0</v>
      </c>
      <c r="L4" s="19" t="b">
        <v>0</v>
      </c>
      <c r="M4" s="202" t="b">
        <v>0</v>
      </c>
      <c r="N4" s="202" t="b">
        <v>0</v>
      </c>
      <c r="O4" s="202" t="b">
        <v>0</v>
      </c>
      <c r="P4" s="34"/>
      <c r="Q4" s="34" t="s">
        <v>128</v>
      </c>
      <c r="R4" s="34"/>
      <c r="S4" s="129" t="s">
        <v>141</v>
      </c>
      <c r="T4" s="39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</row>
    <row r="5" outlineLevel="1">
      <c r="A5" s="19" t="b">
        <v>0</v>
      </c>
      <c r="B5" s="34" t="s">
        <v>530</v>
      </c>
      <c r="C5" s="35" t="s">
        <v>20</v>
      </c>
      <c r="D5" s="34" t="s">
        <v>21</v>
      </c>
      <c r="E5" s="34">
        <v>2.5</v>
      </c>
      <c r="F5" s="34">
        <v>1.0</v>
      </c>
      <c r="G5" s="34" t="s">
        <v>34</v>
      </c>
      <c r="H5" s="34" t="s">
        <v>23</v>
      </c>
      <c r="I5" s="34" t="s">
        <v>23</v>
      </c>
      <c r="J5" s="40" t="s">
        <v>531</v>
      </c>
      <c r="K5" s="19" t="b">
        <v>1</v>
      </c>
      <c r="L5" s="19" t="b">
        <v>0</v>
      </c>
      <c r="M5" s="202" t="b">
        <v>1</v>
      </c>
      <c r="N5" s="202" t="b">
        <v>1</v>
      </c>
      <c r="O5" s="202" t="b">
        <v>0</v>
      </c>
      <c r="P5" s="34"/>
      <c r="Q5" s="34" t="s">
        <v>34</v>
      </c>
      <c r="R5" s="34"/>
      <c r="S5" s="129" t="s">
        <v>35</v>
      </c>
      <c r="T5" s="39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</row>
    <row r="6" outlineLevel="1">
      <c r="A6" s="19" t="b">
        <v>0</v>
      </c>
      <c r="B6" s="34" t="s">
        <v>532</v>
      </c>
      <c r="C6" s="35" t="s">
        <v>20</v>
      </c>
      <c r="D6" s="34" t="s">
        <v>21</v>
      </c>
      <c r="E6" s="34">
        <v>2.0</v>
      </c>
      <c r="F6" s="34">
        <v>1.0</v>
      </c>
      <c r="G6" s="34" t="s">
        <v>533</v>
      </c>
      <c r="H6" s="34" t="s">
        <v>23</v>
      </c>
      <c r="I6" s="34" t="s">
        <v>23</v>
      </c>
      <c r="J6" s="40" t="s">
        <v>531</v>
      </c>
      <c r="K6" s="19" t="b">
        <v>1</v>
      </c>
      <c r="L6" s="19" t="b">
        <v>0</v>
      </c>
      <c r="M6" s="202" t="b">
        <v>1</v>
      </c>
      <c r="N6" s="202" t="b">
        <v>1</v>
      </c>
      <c r="O6" s="202" t="b">
        <v>0</v>
      </c>
      <c r="P6" s="34"/>
      <c r="Q6" s="34" t="s">
        <v>39</v>
      </c>
      <c r="R6" s="34"/>
      <c r="S6" s="129" t="s">
        <v>40</v>
      </c>
      <c r="T6" s="39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</row>
    <row r="7" outlineLevel="1">
      <c r="A7" s="19" t="b">
        <v>0</v>
      </c>
      <c r="B7" s="34" t="s">
        <v>534</v>
      </c>
      <c r="C7" s="35" t="s">
        <v>20</v>
      </c>
      <c r="D7" s="34" t="s">
        <v>21</v>
      </c>
      <c r="E7" s="34">
        <v>8.0</v>
      </c>
      <c r="F7" s="34">
        <v>2.0</v>
      </c>
      <c r="G7" s="34" t="s">
        <v>45</v>
      </c>
      <c r="H7" s="34" t="s">
        <v>31</v>
      </c>
      <c r="I7" s="34" t="s">
        <v>31</v>
      </c>
      <c r="J7" s="149">
        <v>45854.0</v>
      </c>
      <c r="K7" s="19" t="b">
        <v>1</v>
      </c>
      <c r="L7" s="19" t="b">
        <v>1</v>
      </c>
      <c r="M7" s="202" t="b">
        <v>1</v>
      </c>
      <c r="N7" s="202" t="b">
        <v>1</v>
      </c>
      <c r="O7" s="202" t="b">
        <v>0</v>
      </c>
      <c r="P7" s="34"/>
      <c r="Q7" s="34" t="s">
        <v>42</v>
      </c>
      <c r="R7" s="34"/>
      <c r="S7" s="129" t="s">
        <v>43</v>
      </c>
      <c r="T7" s="39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</row>
    <row r="8" outlineLevel="1">
      <c r="A8" s="19" t="b">
        <v>0</v>
      </c>
      <c r="B8" s="34" t="s">
        <v>535</v>
      </c>
      <c r="C8" s="35" t="s">
        <v>20</v>
      </c>
      <c r="D8" s="34" t="s">
        <v>21</v>
      </c>
      <c r="E8" s="34">
        <v>1.5</v>
      </c>
      <c r="F8" s="34">
        <v>2.0</v>
      </c>
      <c r="G8" s="34" t="s">
        <v>50</v>
      </c>
      <c r="H8" s="34" t="s">
        <v>31</v>
      </c>
      <c r="I8" s="34" t="s">
        <v>31</v>
      </c>
      <c r="J8" s="149">
        <v>45854.0</v>
      </c>
      <c r="K8" s="19" t="b">
        <v>1</v>
      </c>
      <c r="L8" s="19" t="b">
        <v>1</v>
      </c>
      <c r="M8" s="202" t="b">
        <v>1</v>
      </c>
      <c r="N8" s="202" t="b">
        <v>1</v>
      </c>
      <c r="O8" s="202" t="b">
        <v>0</v>
      </c>
      <c r="P8" s="50"/>
      <c r="Q8" s="50" t="s">
        <v>47</v>
      </c>
      <c r="R8" s="50"/>
      <c r="S8" s="51" t="s">
        <v>48</v>
      </c>
      <c r="T8" s="39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</row>
    <row r="9" outlineLevel="1">
      <c r="A9" s="19" t="b">
        <v>0</v>
      </c>
      <c r="B9" s="34" t="s">
        <v>536</v>
      </c>
      <c r="C9" s="35" t="s">
        <v>20</v>
      </c>
      <c r="D9" s="34" t="s">
        <v>21</v>
      </c>
      <c r="E9" s="34">
        <v>1.5</v>
      </c>
      <c r="F9" s="34">
        <v>2.0</v>
      </c>
      <c r="G9" s="34" t="s">
        <v>50</v>
      </c>
      <c r="H9" s="34" t="s">
        <v>31</v>
      </c>
      <c r="I9" s="34" t="s">
        <v>31</v>
      </c>
      <c r="J9" s="149">
        <v>45854.0</v>
      </c>
      <c r="K9" s="19" t="b">
        <v>1</v>
      </c>
      <c r="L9" s="19" t="b">
        <v>1</v>
      </c>
      <c r="M9" s="202" t="b">
        <v>1</v>
      </c>
      <c r="N9" s="202" t="b">
        <v>1</v>
      </c>
      <c r="O9" s="202" t="b">
        <v>1</v>
      </c>
      <c r="P9" s="155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</row>
    <row r="10" outlineLevel="1">
      <c r="A10" s="19" t="b">
        <v>0</v>
      </c>
      <c r="B10" s="34" t="s">
        <v>307</v>
      </c>
      <c r="C10" s="35" t="s">
        <v>20</v>
      </c>
      <c r="D10" s="34" t="s">
        <v>156</v>
      </c>
      <c r="E10" s="34">
        <v>1.0</v>
      </c>
      <c r="F10" s="34">
        <v>1.0</v>
      </c>
      <c r="G10" s="34" t="s">
        <v>27</v>
      </c>
      <c r="H10" s="34" t="s">
        <v>31</v>
      </c>
      <c r="I10" s="34" t="s">
        <v>31</v>
      </c>
      <c r="J10" s="134"/>
      <c r="K10" s="19" t="b">
        <v>0</v>
      </c>
      <c r="L10" s="19" t="b">
        <v>0</v>
      </c>
      <c r="M10" s="202" t="b">
        <v>0</v>
      </c>
      <c r="N10" s="202" t="b">
        <v>0</v>
      </c>
      <c r="O10" s="202" t="b">
        <v>0</v>
      </c>
      <c r="P10" s="269"/>
      <c r="Q10" s="270" t="s">
        <v>154</v>
      </c>
      <c r="R10" s="271"/>
      <c r="S10" s="17" t="s">
        <v>52</v>
      </c>
      <c r="T10" s="53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</row>
    <row r="11" ht="33.75" customHeight="1" outlineLevel="1">
      <c r="A11" s="19" t="b">
        <v>0</v>
      </c>
      <c r="B11" s="34" t="s">
        <v>537</v>
      </c>
      <c r="C11" s="35" t="s">
        <v>20</v>
      </c>
      <c r="D11" s="34" t="s">
        <v>21</v>
      </c>
      <c r="E11" s="35">
        <v>16.0</v>
      </c>
      <c r="F11" s="34">
        <v>2.0</v>
      </c>
      <c r="G11" s="34" t="s">
        <v>45</v>
      </c>
      <c r="H11" s="34" t="s">
        <v>31</v>
      </c>
      <c r="I11" s="34" t="s">
        <v>31</v>
      </c>
      <c r="J11" s="48" t="s">
        <v>538</v>
      </c>
      <c r="K11" s="19" t="b">
        <v>0</v>
      </c>
      <c r="L11" s="19" t="b">
        <v>0</v>
      </c>
      <c r="M11" s="202" t="b">
        <v>0</v>
      </c>
      <c r="N11" s="202" t="b">
        <v>0</v>
      </c>
      <c r="O11" s="202" t="b">
        <v>0</v>
      </c>
      <c r="P11" s="135"/>
      <c r="Q11" s="135" t="s">
        <v>57</v>
      </c>
      <c r="R11" s="60"/>
      <c r="S11" s="61" t="s">
        <v>58</v>
      </c>
      <c r="T11" s="33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</row>
    <row r="12" ht="34.5" customHeight="1" outlineLevel="1">
      <c r="A12" s="19" t="b">
        <v>0</v>
      </c>
      <c r="B12" s="35" t="s">
        <v>539</v>
      </c>
      <c r="C12" s="35" t="s">
        <v>122</v>
      </c>
      <c r="D12" s="35" t="s">
        <v>21</v>
      </c>
      <c r="E12" s="34"/>
      <c r="F12" s="34"/>
      <c r="G12" s="34"/>
      <c r="H12" s="34"/>
      <c r="I12" s="34"/>
      <c r="J12" s="149">
        <v>45835.0</v>
      </c>
      <c r="K12" s="19" t="b">
        <v>1</v>
      </c>
      <c r="L12" s="19" t="b">
        <v>1</v>
      </c>
      <c r="M12" s="202" t="b">
        <v>1</v>
      </c>
      <c r="N12" s="202" t="b">
        <v>1</v>
      </c>
      <c r="O12" s="202" t="b">
        <v>1</v>
      </c>
      <c r="P12" s="135"/>
      <c r="Q12" s="135" t="s">
        <v>334</v>
      </c>
      <c r="R12" s="135"/>
      <c r="S12" s="75" t="s">
        <v>335</v>
      </c>
      <c r="T12" s="39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</row>
    <row r="13" ht="30.75" customHeight="1" outlineLevel="1">
      <c r="A13" s="19" t="b">
        <v>1</v>
      </c>
      <c r="B13" s="34" t="s">
        <v>157</v>
      </c>
      <c r="C13" s="35" t="s">
        <v>20</v>
      </c>
      <c r="D13" s="34" t="s">
        <v>156</v>
      </c>
      <c r="E13" s="34">
        <v>1.0</v>
      </c>
      <c r="F13" s="34">
        <v>1.0</v>
      </c>
      <c r="G13" s="34" t="s">
        <v>27</v>
      </c>
      <c r="H13" s="34" t="s">
        <v>31</v>
      </c>
      <c r="I13" s="34" t="s">
        <v>31</v>
      </c>
      <c r="J13" s="149">
        <v>45849.0</v>
      </c>
      <c r="K13" s="19" t="b">
        <v>1</v>
      </c>
      <c r="L13" s="19" t="b">
        <v>0</v>
      </c>
      <c r="M13" s="202" t="b">
        <v>0</v>
      </c>
      <c r="N13" s="202" t="b">
        <v>0</v>
      </c>
      <c r="O13" s="202" t="b">
        <v>0</v>
      </c>
      <c r="P13" s="65"/>
      <c r="Q13" s="65" t="s">
        <v>62</v>
      </c>
      <c r="R13" s="272"/>
      <c r="S13" s="66" t="s">
        <v>58</v>
      </c>
      <c r="T13" s="33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</row>
    <row r="14" outlineLevel="1">
      <c r="A14" s="19" t="b">
        <v>0</v>
      </c>
      <c r="B14" s="35" t="s">
        <v>340</v>
      </c>
      <c r="C14" s="35" t="s">
        <v>20</v>
      </c>
      <c r="D14" s="35" t="s">
        <v>540</v>
      </c>
      <c r="E14" s="35">
        <v>2.0</v>
      </c>
      <c r="F14" s="35">
        <v>1.0</v>
      </c>
      <c r="G14" s="35" t="s">
        <v>27</v>
      </c>
      <c r="H14" s="35" t="s">
        <v>31</v>
      </c>
      <c r="I14" s="35" t="s">
        <v>31</v>
      </c>
      <c r="J14" s="273">
        <v>45783.0</v>
      </c>
      <c r="K14" s="19" t="b">
        <v>1</v>
      </c>
      <c r="L14" s="19" t="b">
        <v>0</v>
      </c>
      <c r="M14" s="202" t="b">
        <v>0</v>
      </c>
      <c r="N14" s="202" t="b">
        <v>0</v>
      </c>
      <c r="O14" s="202" t="b">
        <v>0</v>
      </c>
      <c r="P14" s="65"/>
      <c r="Q14" s="65" t="s">
        <v>66</v>
      </c>
      <c r="R14" s="65"/>
      <c r="S14" s="69" t="s">
        <v>67</v>
      </c>
      <c r="T14" s="39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</row>
    <row r="15" outlineLevel="1">
      <c r="A15" s="19" t="b">
        <v>0</v>
      </c>
      <c r="B15" s="34" t="s">
        <v>245</v>
      </c>
      <c r="C15" s="35" t="s">
        <v>20</v>
      </c>
      <c r="D15" s="34" t="s">
        <v>21</v>
      </c>
      <c r="E15" s="34">
        <v>2.0</v>
      </c>
      <c r="F15" s="34">
        <v>2.0</v>
      </c>
      <c r="G15" s="34" t="s">
        <v>50</v>
      </c>
      <c r="H15" s="34" t="s">
        <v>23</v>
      </c>
      <c r="I15" s="34" t="s">
        <v>23</v>
      </c>
      <c r="J15" s="149">
        <v>45835.0</v>
      </c>
      <c r="K15" s="19" t="b">
        <v>1</v>
      </c>
      <c r="L15" s="19" t="b">
        <v>0</v>
      </c>
      <c r="M15" s="202" t="b">
        <v>1</v>
      </c>
      <c r="N15" s="202" t="b">
        <v>1</v>
      </c>
      <c r="O15" s="202" t="b">
        <v>0</v>
      </c>
      <c r="P15" s="192"/>
      <c r="Q15" s="192" t="s">
        <v>343</v>
      </c>
      <c r="R15" s="192"/>
      <c r="S15" s="193" t="s">
        <v>58</v>
      </c>
      <c r="T15" s="39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</row>
    <row r="16" ht="47.25" customHeight="1" outlineLevel="1">
      <c r="A16" s="19" t="b">
        <v>1</v>
      </c>
      <c r="B16" s="34" t="s">
        <v>541</v>
      </c>
      <c r="C16" s="35" t="s">
        <v>20</v>
      </c>
      <c r="D16" s="34" t="s">
        <v>542</v>
      </c>
      <c r="E16" s="34">
        <v>20.0</v>
      </c>
      <c r="F16" s="34">
        <v>2.0</v>
      </c>
      <c r="G16" s="34" t="s">
        <v>45</v>
      </c>
      <c r="H16" s="34" t="s">
        <v>31</v>
      </c>
      <c r="I16" s="34" t="s">
        <v>23</v>
      </c>
      <c r="J16" s="40" t="s">
        <v>543</v>
      </c>
      <c r="K16" s="19" t="b">
        <v>1</v>
      </c>
      <c r="L16" s="19" t="b">
        <v>1</v>
      </c>
      <c r="M16" s="202" t="b">
        <v>1</v>
      </c>
      <c r="N16" s="202" t="b">
        <v>1</v>
      </c>
      <c r="O16" s="202" t="b">
        <v>1</v>
      </c>
      <c r="P16" s="65"/>
      <c r="Q16" s="65" t="s">
        <v>345</v>
      </c>
      <c r="R16" s="65"/>
      <c r="S16" s="193" t="s">
        <v>346</v>
      </c>
      <c r="T16" s="39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</row>
    <row r="17" outlineLevel="1">
      <c r="A17" s="19" t="b">
        <v>0</v>
      </c>
      <c r="B17" s="34" t="s">
        <v>544</v>
      </c>
      <c r="C17" s="35" t="s">
        <v>20</v>
      </c>
      <c r="D17" s="34" t="s">
        <v>21</v>
      </c>
      <c r="E17" s="34">
        <v>4.0</v>
      </c>
      <c r="F17" s="34">
        <v>2.0</v>
      </c>
      <c r="G17" s="34" t="s">
        <v>45</v>
      </c>
      <c r="H17" s="34" t="s">
        <v>23</v>
      </c>
      <c r="I17" s="34" t="s">
        <v>31</v>
      </c>
      <c r="J17" s="149">
        <v>45847.0</v>
      </c>
      <c r="K17" s="19" t="b">
        <v>1</v>
      </c>
      <c r="L17" s="19" t="b">
        <v>1</v>
      </c>
      <c r="M17" s="202" t="b">
        <v>1</v>
      </c>
      <c r="N17" s="202" t="b">
        <v>1</v>
      </c>
      <c r="O17" s="202" t="b">
        <v>1</v>
      </c>
      <c r="P17" s="65"/>
      <c r="Q17" s="274" t="s">
        <v>74</v>
      </c>
      <c r="R17" s="65"/>
      <c r="S17" s="275" t="s">
        <v>50</v>
      </c>
      <c r="T17" s="39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</row>
    <row r="18" outlineLevel="1">
      <c r="A18" s="19" t="b">
        <v>0</v>
      </c>
      <c r="B18" s="34" t="s">
        <v>545</v>
      </c>
      <c r="C18" s="35" t="s">
        <v>20</v>
      </c>
      <c r="D18" s="34" t="s">
        <v>21</v>
      </c>
      <c r="E18" s="34">
        <v>16.0</v>
      </c>
      <c r="F18" s="34">
        <v>2.0</v>
      </c>
      <c r="G18" s="34" t="s">
        <v>58</v>
      </c>
      <c r="H18" s="34" t="s">
        <v>31</v>
      </c>
      <c r="I18" s="34" t="s">
        <v>31</v>
      </c>
      <c r="J18" s="40" t="s">
        <v>546</v>
      </c>
      <c r="K18" s="19" t="b">
        <v>1</v>
      </c>
      <c r="L18" s="19" t="b">
        <v>1</v>
      </c>
      <c r="M18" s="202" t="b">
        <v>1</v>
      </c>
      <c r="N18" s="202" t="b">
        <v>1</v>
      </c>
      <c r="O18" s="202" t="b">
        <v>1</v>
      </c>
      <c r="P18" s="135"/>
      <c r="Q18" s="276"/>
      <c r="R18" s="276"/>
      <c r="S18" s="137"/>
      <c r="T18" s="39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</row>
    <row r="19" outlineLevel="1">
      <c r="A19" s="19" t="b">
        <v>0</v>
      </c>
      <c r="B19" s="34" t="s">
        <v>547</v>
      </c>
      <c r="C19" s="35" t="s">
        <v>20</v>
      </c>
      <c r="D19" s="34" t="s">
        <v>21</v>
      </c>
      <c r="E19" s="34">
        <v>1.0</v>
      </c>
      <c r="F19" s="34">
        <v>1.0</v>
      </c>
      <c r="G19" s="34" t="s">
        <v>22</v>
      </c>
      <c r="H19" s="34" t="s">
        <v>23</v>
      </c>
      <c r="I19" s="34" t="s">
        <v>23</v>
      </c>
      <c r="J19" s="277">
        <v>45848.0</v>
      </c>
      <c r="K19" s="19" t="b">
        <v>1</v>
      </c>
      <c r="L19" s="19" t="b">
        <v>0</v>
      </c>
      <c r="M19" s="202" t="b">
        <v>1</v>
      </c>
      <c r="N19" s="202" t="b">
        <v>1</v>
      </c>
      <c r="O19" s="202" t="b">
        <v>0</v>
      </c>
      <c r="P19" s="155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</row>
    <row r="20" outlineLevel="1">
      <c r="A20" s="19" t="b">
        <v>0</v>
      </c>
      <c r="B20" s="34" t="s">
        <v>548</v>
      </c>
      <c r="C20" s="35" t="s">
        <v>20</v>
      </c>
      <c r="D20" s="34" t="s">
        <v>21</v>
      </c>
      <c r="E20" s="35">
        <v>12.0</v>
      </c>
      <c r="F20" s="34">
        <v>2.0</v>
      </c>
      <c r="G20" s="35" t="s">
        <v>58</v>
      </c>
      <c r="H20" s="34" t="s">
        <v>31</v>
      </c>
      <c r="I20" s="34" t="s">
        <v>31</v>
      </c>
      <c r="J20" s="149">
        <v>45852.0</v>
      </c>
      <c r="K20" s="19" t="b">
        <v>1</v>
      </c>
      <c r="L20" s="19" t="b">
        <v>1</v>
      </c>
      <c r="M20" s="202" t="b">
        <v>1</v>
      </c>
      <c r="N20" s="202" t="b">
        <v>1</v>
      </c>
      <c r="O20" s="202" t="b">
        <v>1</v>
      </c>
      <c r="P20" s="278"/>
      <c r="Q20" s="279" t="s">
        <v>79</v>
      </c>
      <c r="R20" s="78"/>
      <c r="S20" s="78"/>
      <c r="T20" s="79"/>
      <c r="V20" s="80" t="s">
        <v>80</v>
      </c>
      <c r="W20" s="73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</row>
    <row r="21" ht="30.0" customHeight="1" outlineLevel="1">
      <c r="A21" s="19" t="b">
        <v>0</v>
      </c>
      <c r="B21" s="34" t="s">
        <v>549</v>
      </c>
      <c r="C21" s="35" t="s">
        <v>20</v>
      </c>
      <c r="D21" s="34" t="s">
        <v>385</v>
      </c>
      <c r="E21" s="34">
        <v>2.5</v>
      </c>
      <c r="F21" s="34">
        <v>2.0</v>
      </c>
      <c r="G21" s="34" t="s">
        <v>70</v>
      </c>
      <c r="H21" s="34" t="s">
        <v>31</v>
      </c>
      <c r="I21" s="34" t="s">
        <v>23</v>
      </c>
      <c r="J21" s="149">
        <v>45848.0</v>
      </c>
      <c r="K21" s="19" t="b">
        <v>1</v>
      </c>
      <c r="L21" s="19" t="b">
        <v>0</v>
      </c>
      <c r="M21" s="202" t="b">
        <v>1</v>
      </c>
      <c r="N21" s="280" t="b">
        <v>1</v>
      </c>
      <c r="O21" s="280" t="b">
        <v>0</v>
      </c>
      <c r="P21" s="281"/>
      <c r="Q21" s="282" t="s">
        <v>83</v>
      </c>
      <c r="R21" s="283"/>
      <c r="S21" s="82" t="s">
        <v>84</v>
      </c>
      <c r="T21" s="83"/>
      <c r="U21" s="84" t="s">
        <v>85</v>
      </c>
      <c r="V21" s="85" t="s">
        <v>86</v>
      </c>
      <c r="W21" s="73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</row>
    <row r="22" ht="15.75" customHeight="1" outlineLevel="1">
      <c r="A22" s="19" t="b">
        <v>0</v>
      </c>
      <c r="B22" s="34" t="s">
        <v>260</v>
      </c>
      <c r="C22" s="35" t="s">
        <v>20</v>
      </c>
      <c r="D22" s="35" t="s">
        <v>550</v>
      </c>
      <c r="E22" s="34">
        <v>3.0</v>
      </c>
      <c r="F22" s="34">
        <v>1.0</v>
      </c>
      <c r="G22" s="34" t="s">
        <v>128</v>
      </c>
      <c r="H22" s="34" t="s">
        <v>23</v>
      </c>
      <c r="I22" s="34" t="s">
        <v>23</v>
      </c>
      <c r="J22" s="149">
        <v>45847.0</v>
      </c>
      <c r="K22" s="19" t="b">
        <v>1</v>
      </c>
      <c r="L22" s="19" t="b">
        <v>0</v>
      </c>
      <c r="M22" s="202" t="b">
        <v>0</v>
      </c>
      <c r="N22" s="202" t="b">
        <v>0</v>
      </c>
      <c r="O22" s="202" t="b">
        <v>0</v>
      </c>
      <c r="P22" s="281"/>
      <c r="Q22" s="284" t="s">
        <v>90</v>
      </c>
      <c r="R22" s="285"/>
      <c r="S22" s="82" t="s">
        <v>91</v>
      </c>
      <c r="T22" s="83"/>
      <c r="U22" s="84" t="s">
        <v>85</v>
      </c>
      <c r="V22" s="85" t="s">
        <v>86</v>
      </c>
      <c r="W22" s="73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</row>
    <row r="23" ht="29.25" customHeight="1" outlineLevel="1">
      <c r="A23" s="19" t="b">
        <v>0</v>
      </c>
      <c r="B23" s="34" t="s">
        <v>551</v>
      </c>
      <c r="C23" s="35" t="s">
        <v>20</v>
      </c>
      <c r="D23" s="34" t="s">
        <v>275</v>
      </c>
      <c r="E23" s="34">
        <v>4.5</v>
      </c>
      <c r="F23" s="34">
        <v>1.0</v>
      </c>
      <c r="G23" s="34" t="s">
        <v>226</v>
      </c>
      <c r="H23" s="34" t="s">
        <v>31</v>
      </c>
      <c r="I23" s="34" t="s">
        <v>31</v>
      </c>
      <c r="J23" s="40" t="s">
        <v>552</v>
      </c>
      <c r="K23" s="19" t="b">
        <v>1</v>
      </c>
      <c r="L23" s="19" t="b">
        <v>0</v>
      </c>
      <c r="M23" s="202" t="b">
        <v>0</v>
      </c>
      <c r="N23" s="202" t="b">
        <v>0</v>
      </c>
      <c r="O23" s="202" t="b">
        <v>0</v>
      </c>
      <c r="P23" s="281"/>
      <c r="Q23" s="286" t="s">
        <v>92</v>
      </c>
      <c r="R23" s="287"/>
      <c r="S23" s="82" t="s">
        <v>93</v>
      </c>
      <c r="T23" s="83"/>
      <c r="U23" s="84" t="s">
        <v>85</v>
      </c>
      <c r="V23" s="85" t="s">
        <v>94</v>
      </c>
      <c r="W23" s="73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</row>
    <row r="24" ht="29.25" customHeight="1" outlineLevel="1">
      <c r="A24" s="19" t="b">
        <v>0</v>
      </c>
      <c r="B24" s="34" t="s">
        <v>553</v>
      </c>
      <c r="C24" s="35" t="s">
        <v>20</v>
      </c>
      <c r="D24" s="34" t="s">
        <v>21</v>
      </c>
      <c r="E24" s="34">
        <v>10.0</v>
      </c>
      <c r="F24" s="34">
        <v>2.0</v>
      </c>
      <c r="G24" s="34" t="s">
        <v>45</v>
      </c>
      <c r="H24" s="34" t="s">
        <v>23</v>
      </c>
      <c r="I24" s="34" t="s">
        <v>31</v>
      </c>
      <c r="J24" s="40" t="s">
        <v>554</v>
      </c>
      <c r="K24" s="19" t="b">
        <v>1</v>
      </c>
      <c r="L24" s="19" t="b">
        <v>1</v>
      </c>
      <c r="M24" s="202" t="b">
        <v>1</v>
      </c>
      <c r="N24" s="202" t="b">
        <v>1</v>
      </c>
      <c r="O24" s="202" t="b">
        <v>1</v>
      </c>
      <c r="P24" s="281"/>
      <c r="Q24" s="288" t="s">
        <v>97</v>
      </c>
      <c r="R24" s="289"/>
      <c r="S24" s="94" t="s">
        <v>98</v>
      </c>
      <c r="T24" s="95"/>
      <c r="U24" s="84" t="s">
        <v>85</v>
      </c>
      <c r="V24" s="85" t="s">
        <v>94</v>
      </c>
      <c r="W24" s="73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</row>
    <row r="25" ht="15.75" customHeight="1" outlineLevel="1">
      <c r="A25" s="19" t="b">
        <v>0</v>
      </c>
      <c r="B25" s="34" t="s">
        <v>555</v>
      </c>
      <c r="C25" s="35" t="s">
        <v>20</v>
      </c>
      <c r="D25" s="34" t="s">
        <v>21</v>
      </c>
      <c r="E25" s="34">
        <v>3.0</v>
      </c>
      <c r="F25" s="34">
        <v>2.0</v>
      </c>
      <c r="G25" s="34" t="s">
        <v>58</v>
      </c>
      <c r="H25" s="34" t="s">
        <v>23</v>
      </c>
      <c r="I25" s="34" t="s">
        <v>31</v>
      </c>
      <c r="J25" s="214">
        <v>45828.0</v>
      </c>
      <c r="K25" s="19" t="b">
        <v>1</v>
      </c>
      <c r="L25" s="19" t="b">
        <v>1</v>
      </c>
      <c r="M25" s="202" t="b">
        <v>1</v>
      </c>
      <c r="N25" s="290" t="b">
        <v>1</v>
      </c>
      <c r="O25" s="290" t="b">
        <v>1</v>
      </c>
      <c r="P25" s="155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</row>
    <row r="26" ht="15.75" customHeight="1" outlineLevel="1">
      <c r="A26" s="19" t="b">
        <v>0</v>
      </c>
      <c r="B26" s="34" t="s">
        <v>556</v>
      </c>
      <c r="C26" s="35" t="s">
        <v>20</v>
      </c>
      <c r="D26" s="34" t="s">
        <v>21</v>
      </c>
      <c r="E26" s="34">
        <v>1.0</v>
      </c>
      <c r="F26" s="34">
        <v>1.0</v>
      </c>
      <c r="G26" s="34" t="s">
        <v>22</v>
      </c>
      <c r="H26" s="34" t="s">
        <v>23</v>
      </c>
      <c r="I26" s="34" t="s">
        <v>23</v>
      </c>
      <c r="J26" s="149">
        <v>45810.0</v>
      </c>
      <c r="K26" s="19" t="b">
        <v>1</v>
      </c>
      <c r="L26" s="19" t="b">
        <v>0</v>
      </c>
      <c r="M26" s="202" t="b">
        <v>1</v>
      </c>
      <c r="N26" s="202" t="b">
        <v>1</v>
      </c>
      <c r="O26" s="202" t="b">
        <v>0</v>
      </c>
      <c r="P26" s="291"/>
      <c r="Q26" s="292" t="s">
        <v>362</v>
      </c>
      <c r="R26" s="293"/>
      <c r="S26" s="103">
        <f>(E3*F3)+(E4*F4)+(E5*F5)+(E6*F6)+(E7*F7)+(E8*F8)+(E9*F9)+(E10*F10)+(E11*F11)+(E12*F12)+(E13*F13)+(E14*F14)+(E15*F15)+(E16*F16)+(E17*F17)+(E18*F18)+(E19*F19)+(E20*F20)+(E21*F21)+(E22*F22)+(E23*F23)+(E24*F24)+(E25*F25)+(E26*F26)+(E27*F27)+(E28*F28)+(E29*F29)+(E30*F30)+(E32*F32)+(E33*F33)+(E34*F34)+(E35*F35)+(E36*F36)+(E37*F37)+(E38*F38)+(E39*F39)+(E40*F40)+(E41*F41)+(E42*F42)+(E43*F43)+(E44*F44)+(E45*F45)+(E46*F46)+(E47*F47)+(E48*F48)+(E49*F49)+(E50*F50)+(E51*F51)+(E52*F52)+(E53*F53)+(E54*F54)+(E55*F55)+(E56*F56)+(E57*F57)+(E58*F58)+(E59*F59)+(E60*F60)+(E61*F61)+(E62*F62)+(E63*F63)+(E64*F64)+(E65*F65)+(E66*F66)+(E67*F67)+(E68*F68)+(E69*F69)+(E70*F70)+(E71*F71)+(E72*F72)+(E73*F73)+(E74*F74)+(E75*F75)+(E76*F76)+(E77*F77)+(E78*F78)+(E79*F79)+(E80*F80)+(E81*F81)+(E82*F82)+(E83*F83)+(E84*F84)+(E85*F85)+(E86*F86)+(E87*F87)+(E88*F88)+(E89*F89)+(E90*F90)+(E91*F91)+(E92*F92)+(E93*F93)+(E94*F94)+(E95*F95)+(E96*F96)+(E97*F97)+(E98*F98)+(E99*F99)+(E100*F100)+(E101*F101)</f>
        <v>571.5</v>
      </c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</row>
    <row r="27" ht="15.75" customHeight="1" outlineLevel="1">
      <c r="A27" s="106" t="b">
        <v>0</v>
      </c>
      <c r="B27" s="140" t="s">
        <v>557</v>
      </c>
      <c r="C27" s="86" t="s">
        <v>195</v>
      </c>
      <c r="D27" s="140" t="s">
        <v>21</v>
      </c>
      <c r="E27" s="140">
        <v>8.0</v>
      </c>
      <c r="F27" s="86">
        <v>3.0</v>
      </c>
      <c r="G27" s="140" t="s">
        <v>558</v>
      </c>
      <c r="H27" s="140" t="s">
        <v>31</v>
      </c>
      <c r="I27" s="140" t="s">
        <v>23</v>
      </c>
      <c r="J27" s="294" t="s">
        <v>46</v>
      </c>
      <c r="K27" s="106" t="b">
        <v>1</v>
      </c>
      <c r="L27" s="106" t="b">
        <v>1</v>
      </c>
      <c r="M27" s="267" t="b">
        <v>1</v>
      </c>
      <c r="N27" s="267" t="b">
        <v>1</v>
      </c>
      <c r="O27" s="267" t="b">
        <v>1</v>
      </c>
      <c r="P27" s="19" t="s">
        <v>559</v>
      </c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</row>
    <row r="28" ht="15.75" customHeight="1" outlineLevel="1">
      <c r="A28" s="19" t="b">
        <v>0</v>
      </c>
      <c r="B28" s="86" t="s">
        <v>560</v>
      </c>
      <c r="C28" s="86" t="s">
        <v>20</v>
      </c>
      <c r="D28" s="86" t="s">
        <v>21</v>
      </c>
      <c r="E28" s="140"/>
      <c r="F28" s="140"/>
      <c r="G28" s="86" t="s">
        <v>30</v>
      </c>
      <c r="H28" s="86" t="s">
        <v>23</v>
      </c>
      <c r="I28" s="86" t="s">
        <v>31</v>
      </c>
      <c r="J28" s="294" t="s">
        <v>46</v>
      </c>
      <c r="K28" s="19" t="b">
        <v>1</v>
      </c>
      <c r="L28" s="19" t="b">
        <v>1</v>
      </c>
      <c r="M28" s="202" t="b">
        <v>1</v>
      </c>
      <c r="N28" s="290" t="b">
        <v>1</v>
      </c>
      <c r="O28" s="290" t="b">
        <v>1</v>
      </c>
      <c r="P28" s="295"/>
      <c r="Q28" s="296" t="s">
        <v>192</v>
      </c>
      <c r="R28" s="144"/>
      <c r="S28" s="144"/>
      <c r="T28" s="18"/>
      <c r="U28" s="103">
        <v>685.0</v>
      </c>
      <c r="V28" s="85"/>
      <c r="W28" s="85" t="s">
        <v>193</v>
      </c>
      <c r="AG28" s="118"/>
      <c r="AH28" s="118"/>
    </row>
    <row r="29" ht="15.75" customHeight="1" outlineLevel="1">
      <c r="A29" s="19" t="b">
        <v>1</v>
      </c>
      <c r="B29" s="34" t="s">
        <v>561</v>
      </c>
      <c r="C29" s="35" t="s">
        <v>77</v>
      </c>
      <c r="D29" s="34" t="s">
        <v>21</v>
      </c>
      <c r="E29" s="34">
        <v>3.0</v>
      </c>
      <c r="F29" s="34">
        <v>2.0</v>
      </c>
      <c r="G29" s="34" t="s">
        <v>113</v>
      </c>
      <c r="H29" s="34" t="s">
        <v>23</v>
      </c>
      <c r="I29" s="34" t="s">
        <v>31</v>
      </c>
      <c r="J29" s="149">
        <v>45825.0</v>
      </c>
      <c r="K29" s="19" t="b">
        <v>1</v>
      </c>
      <c r="L29" s="19" t="b">
        <v>1</v>
      </c>
      <c r="M29" s="202" t="b">
        <v>1</v>
      </c>
      <c r="N29" s="290" t="b">
        <v>1</v>
      </c>
      <c r="O29" s="290" t="b">
        <v>1</v>
      </c>
      <c r="P29" s="297"/>
      <c r="Q29" s="85"/>
      <c r="R29" s="85"/>
      <c r="S29" s="85"/>
      <c r="T29" s="85"/>
      <c r="U29" s="96"/>
      <c r="V29" s="85"/>
      <c r="W29" s="85"/>
      <c r="AG29" s="118"/>
      <c r="AH29" s="118"/>
    </row>
    <row r="30" ht="15.75" customHeight="1" outlineLevel="1">
      <c r="A30" s="19" t="b">
        <v>0</v>
      </c>
      <c r="B30" s="140" t="s">
        <v>562</v>
      </c>
      <c r="C30" s="86" t="s">
        <v>82</v>
      </c>
      <c r="D30" s="140" t="s">
        <v>42</v>
      </c>
      <c r="E30" s="140">
        <v>1.0</v>
      </c>
      <c r="F30" s="140">
        <v>1.0</v>
      </c>
      <c r="G30" s="140" t="s">
        <v>42</v>
      </c>
      <c r="H30" s="140" t="s">
        <v>23</v>
      </c>
      <c r="I30" s="140" t="s">
        <v>23</v>
      </c>
      <c r="J30" s="294" t="s">
        <v>46</v>
      </c>
      <c r="K30" s="19" t="b">
        <v>0</v>
      </c>
      <c r="L30" s="19" t="b">
        <v>0</v>
      </c>
      <c r="M30" s="202" t="b">
        <v>0</v>
      </c>
      <c r="N30" s="202" t="b">
        <v>0</v>
      </c>
      <c r="O30" s="202" t="b">
        <v>0</v>
      </c>
      <c r="P30" s="298"/>
      <c r="Q30" s="299" t="s">
        <v>199</v>
      </c>
      <c r="R30" s="299"/>
      <c r="S30" s="102"/>
      <c r="T30" s="103">
        <f>U28-S26</f>
        <v>113.5</v>
      </c>
      <c r="U30" s="96"/>
      <c r="V30" s="85"/>
      <c r="W30" s="257" t="s">
        <v>500</v>
      </c>
      <c r="X30" s="258"/>
      <c r="Y30" s="258"/>
      <c r="Z30" s="258"/>
      <c r="AG30" s="118"/>
      <c r="AH30" s="118"/>
    </row>
    <row r="31" ht="15.75" customHeight="1" outlineLevel="1">
      <c r="A31" s="19" t="b">
        <v>0</v>
      </c>
      <c r="B31" s="34" t="s">
        <v>563</v>
      </c>
      <c r="C31" s="35" t="s">
        <v>20</v>
      </c>
      <c r="D31" s="34" t="s">
        <v>21</v>
      </c>
      <c r="E31" s="34">
        <v>3.0</v>
      </c>
      <c r="F31" s="34">
        <v>2.0</v>
      </c>
      <c r="G31" s="34" t="s">
        <v>113</v>
      </c>
      <c r="H31" s="34" t="s">
        <v>23</v>
      </c>
      <c r="I31" s="34" t="s">
        <v>23</v>
      </c>
      <c r="J31" s="149">
        <v>45894.0</v>
      </c>
      <c r="K31" s="19" t="b">
        <v>1</v>
      </c>
      <c r="L31" s="19" t="b">
        <v>1</v>
      </c>
      <c r="M31" s="202" t="b">
        <v>1</v>
      </c>
      <c r="N31" s="202" t="b">
        <v>1</v>
      </c>
      <c r="O31" s="202" t="b">
        <v>1</v>
      </c>
      <c r="P31" s="155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</row>
    <row r="32" ht="15.75" customHeight="1" outlineLevel="1">
      <c r="A32" s="19" t="b">
        <v>0</v>
      </c>
      <c r="B32" s="34" t="s">
        <v>564</v>
      </c>
      <c r="C32" s="35" t="s">
        <v>20</v>
      </c>
      <c r="D32" s="34" t="s">
        <v>21</v>
      </c>
      <c r="E32" s="34">
        <v>1.0</v>
      </c>
      <c r="F32" s="34">
        <v>1.0</v>
      </c>
      <c r="G32" s="34" t="s">
        <v>22</v>
      </c>
      <c r="H32" s="34" t="s">
        <v>23</v>
      </c>
      <c r="I32" s="34" t="s">
        <v>23</v>
      </c>
      <c r="J32" s="149">
        <v>45877.0</v>
      </c>
      <c r="K32" s="19" t="b">
        <v>1</v>
      </c>
      <c r="L32" s="19" t="b">
        <v>1</v>
      </c>
      <c r="M32" s="202" t="b">
        <v>1</v>
      </c>
      <c r="N32" s="202" t="b">
        <v>1</v>
      </c>
      <c r="O32" s="202" t="b">
        <v>1</v>
      </c>
      <c r="P32" s="155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</row>
    <row r="33" ht="15.75" customHeight="1" outlineLevel="1">
      <c r="A33" s="106" t="b">
        <v>1</v>
      </c>
      <c r="B33" s="140" t="s">
        <v>565</v>
      </c>
      <c r="C33" s="86" t="s">
        <v>20</v>
      </c>
      <c r="D33" s="140" t="s">
        <v>21</v>
      </c>
      <c r="E33" s="140">
        <v>1.0</v>
      </c>
      <c r="F33" s="140">
        <v>0.5</v>
      </c>
      <c r="G33" s="140" t="s">
        <v>34</v>
      </c>
      <c r="H33" s="140" t="s">
        <v>23</v>
      </c>
      <c r="I33" s="140" t="s">
        <v>23</v>
      </c>
      <c r="J33" s="213" t="s">
        <v>566</v>
      </c>
      <c r="K33" s="19" t="b">
        <v>0</v>
      </c>
      <c r="L33" s="19" t="b">
        <v>0</v>
      </c>
      <c r="M33" s="202" t="b">
        <v>0</v>
      </c>
      <c r="N33" s="202" t="b">
        <v>0</v>
      </c>
      <c r="O33" s="202" t="b">
        <v>0</v>
      </c>
      <c r="P33" s="19"/>
      <c r="Q33" s="300" t="s">
        <v>567</v>
      </c>
      <c r="R33" s="130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</row>
    <row r="34" ht="15.75" customHeight="1" outlineLevel="1">
      <c r="A34" s="19" t="b">
        <v>0</v>
      </c>
      <c r="B34" s="34" t="s">
        <v>568</v>
      </c>
      <c r="C34" s="35" t="s">
        <v>20</v>
      </c>
      <c r="D34" s="34" t="s">
        <v>21</v>
      </c>
      <c r="E34" s="34">
        <v>16.0</v>
      </c>
      <c r="F34" s="34">
        <v>2.0</v>
      </c>
      <c r="G34" s="34" t="s">
        <v>45</v>
      </c>
      <c r="H34" s="34" t="s">
        <v>31</v>
      </c>
      <c r="I34" s="34" t="s">
        <v>31</v>
      </c>
      <c r="J34" s="40" t="s">
        <v>569</v>
      </c>
      <c r="K34" s="19" t="b">
        <v>1</v>
      </c>
      <c r="L34" s="19" t="b">
        <v>1</v>
      </c>
      <c r="M34" s="202" t="b">
        <v>1</v>
      </c>
      <c r="N34" s="202" t="b">
        <v>1</v>
      </c>
      <c r="O34" s="202" t="b">
        <v>1</v>
      </c>
      <c r="P34" s="155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</row>
    <row r="35" ht="15.75" customHeight="1" outlineLevel="1">
      <c r="A35" s="19" t="b">
        <v>0</v>
      </c>
      <c r="B35" s="35" t="s">
        <v>570</v>
      </c>
      <c r="C35" s="35" t="s">
        <v>20</v>
      </c>
      <c r="D35" s="34" t="s">
        <v>571</v>
      </c>
      <c r="E35" s="34">
        <v>2.5</v>
      </c>
      <c r="F35" s="34">
        <v>1.0</v>
      </c>
      <c r="G35" s="34" t="s">
        <v>61</v>
      </c>
      <c r="H35" s="34" t="s">
        <v>23</v>
      </c>
      <c r="I35" s="34" t="s">
        <v>23</v>
      </c>
      <c r="J35" s="301">
        <v>45890.0</v>
      </c>
      <c r="K35" s="19" t="b">
        <v>0</v>
      </c>
      <c r="L35" s="19" t="b">
        <v>0</v>
      </c>
      <c r="M35" s="202" t="b">
        <v>0</v>
      </c>
      <c r="N35" s="202" t="b">
        <v>0</v>
      </c>
      <c r="O35" s="202" t="b">
        <v>0</v>
      </c>
      <c r="P35" s="155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</row>
    <row r="36" ht="15.75" customHeight="1" outlineLevel="1">
      <c r="A36" s="106" t="b">
        <v>0</v>
      </c>
      <c r="B36" s="140" t="s">
        <v>572</v>
      </c>
      <c r="C36" s="86" t="s">
        <v>20</v>
      </c>
      <c r="D36" s="140" t="s">
        <v>21</v>
      </c>
      <c r="E36" s="86">
        <v>24.0</v>
      </c>
      <c r="F36" s="86">
        <v>2.5</v>
      </c>
      <c r="G36" s="140" t="s">
        <v>58</v>
      </c>
      <c r="H36" s="140" t="s">
        <v>31</v>
      </c>
      <c r="I36" s="140" t="s">
        <v>31</v>
      </c>
      <c r="J36" s="48" t="s">
        <v>573</v>
      </c>
      <c r="K36" s="19" t="b">
        <v>0</v>
      </c>
      <c r="L36" s="19" t="b">
        <v>0</v>
      </c>
      <c r="M36" s="202" t="b">
        <v>0</v>
      </c>
      <c r="N36" s="290" t="b">
        <v>0</v>
      </c>
      <c r="O36" s="290" t="b">
        <v>0</v>
      </c>
      <c r="P36" s="155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</row>
    <row r="37" ht="15.75" customHeight="1" outlineLevel="1">
      <c r="A37" s="19" t="b">
        <v>0</v>
      </c>
      <c r="B37" s="34" t="s">
        <v>574</v>
      </c>
      <c r="C37" s="35" t="s">
        <v>20</v>
      </c>
      <c r="D37" s="34" t="s">
        <v>21</v>
      </c>
      <c r="E37" s="35">
        <v>8.0</v>
      </c>
      <c r="F37" s="35">
        <v>2.0</v>
      </c>
      <c r="G37" s="34" t="s">
        <v>45</v>
      </c>
      <c r="H37" s="34" t="s">
        <v>31</v>
      </c>
      <c r="I37" s="34" t="s">
        <v>31</v>
      </c>
      <c r="J37" s="48" t="s">
        <v>573</v>
      </c>
      <c r="K37" s="19" t="b">
        <v>0</v>
      </c>
      <c r="L37" s="19" t="b">
        <v>0</v>
      </c>
      <c r="M37" s="202" t="b">
        <v>0</v>
      </c>
      <c r="N37" s="290" t="b">
        <v>0</v>
      </c>
      <c r="O37" s="290" t="b">
        <v>0</v>
      </c>
      <c r="P37" s="155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</row>
    <row r="38" ht="15.75" customHeight="1" outlineLevel="1">
      <c r="A38" s="19" t="b">
        <v>0</v>
      </c>
      <c r="B38" s="34" t="s">
        <v>575</v>
      </c>
      <c r="C38" s="35" t="s">
        <v>20</v>
      </c>
      <c r="D38" s="34" t="s">
        <v>21</v>
      </c>
      <c r="E38" s="34">
        <v>1.5</v>
      </c>
      <c r="F38" s="34">
        <v>1.0</v>
      </c>
      <c r="G38" s="34" t="s">
        <v>22</v>
      </c>
      <c r="H38" s="34" t="s">
        <v>23</v>
      </c>
      <c r="I38" s="34" t="s">
        <v>23</v>
      </c>
      <c r="J38" s="134">
        <v>45447.0</v>
      </c>
      <c r="K38" s="19" t="b">
        <v>0</v>
      </c>
      <c r="L38" s="19" t="b">
        <v>0</v>
      </c>
      <c r="M38" s="202" t="b">
        <v>0</v>
      </c>
      <c r="N38" s="202" t="b">
        <v>0</v>
      </c>
      <c r="O38" s="202" t="b">
        <v>0</v>
      </c>
      <c r="P38" s="155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</row>
    <row r="39" ht="15.75" customHeight="1" outlineLevel="1">
      <c r="A39" s="19" t="b">
        <v>0</v>
      </c>
      <c r="B39" s="34" t="s">
        <v>576</v>
      </c>
      <c r="C39" s="35" t="s">
        <v>20</v>
      </c>
      <c r="D39" s="34" t="s">
        <v>21</v>
      </c>
      <c r="E39" s="35">
        <v>2.0</v>
      </c>
      <c r="F39" s="35">
        <v>1.0</v>
      </c>
      <c r="G39" s="34" t="s">
        <v>357</v>
      </c>
      <c r="H39" s="34" t="s">
        <v>23</v>
      </c>
      <c r="I39" s="34" t="s">
        <v>23</v>
      </c>
      <c r="J39" s="149">
        <v>45832.0</v>
      </c>
      <c r="K39" s="19" t="b">
        <v>1</v>
      </c>
      <c r="L39" s="19" t="b">
        <v>1</v>
      </c>
      <c r="M39" s="202" t="b">
        <v>1</v>
      </c>
      <c r="N39" s="202" t="b">
        <v>1</v>
      </c>
      <c r="O39" s="202" t="b">
        <v>1</v>
      </c>
      <c r="P39" s="155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</row>
    <row r="40" ht="15.75" customHeight="1" outlineLevel="1">
      <c r="A40" s="19" t="b">
        <v>0</v>
      </c>
      <c r="B40" s="27" t="s">
        <v>121</v>
      </c>
      <c r="C40" s="35" t="s">
        <v>122</v>
      </c>
      <c r="D40" s="27" t="s">
        <v>123</v>
      </c>
      <c r="E40" s="27">
        <v>2.0</v>
      </c>
      <c r="F40" s="27">
        <v>1.0</v>
      </c>
      <c r="G40" s="34" t="s">
        <v>58</v>
      </c>
      <c r="H40" s="27" t="s">
        <v>23</v>
      </c>
      <c r="I40" s="27" t="s">
        <v>31</v>
      </c>
      <c r="J40" s="214">
        <v>45811.0</v>
      </c>
      <c r="K40" s="19" t="b">
        <v>1</v>
      </c>
      <c r="L40" s="19" t="b">
        <v>1</v>
      </c>
      <c r="M40" s="202" t="b">
        <v>1</v>
      </c>
      <c r="N40" s="202" t="b">
        <v>1</v>
      </c>
      <c r="O40" s="202" t="b">
        <v>1</v>
      </c>
      <c r="P40" s="155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</row>
    <row r="41" ht="15.75" customHeight="1" outlineLevel="1">
      <c r="A41" s="19" t="b">
        <v>0</v>
      </c>
      <c r="B41" s="34" t="s">
        <v>512</v>
      </c>
      <c r="C41" s="35" t="s">
        <v>20</v>
      </c>
      <c r="D41" s="35" t="s">
        <v>577</v>
      </c>
      <c r="E41" s="35">
        <v>22.0</v>
      </c>
      <c r="F41" s="34">
        <v>2.0</v>
      </c>
      <c r="G41" s="35" t="s">
        <v>45</v>
      </c>
      <c r="H41" s="34" t="s">
        <v>31</v>
      </c>
      <c r="I41" s="34" t="s">
        <v>31</v>
      </c>
      <c r="J41" s="40" t="s">
        <v>578</v>
      </c>
      <c r="K41" s="19" t="b">
        <v>1</v>
      </c>
      <c r="L41" s="19" t="b">
        <v>1</v>
      </c>
      <c r="M41" s="202" t="b">
        <v>1</v>
      </c>
      <c r="N41" s="202" t="b">
        <v>1</v>
      </c>
      <c r="O41" s="202" t="b">
        <v>1</v>
      </c>
      <c r="P41" s="155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</row>
    <row r="42" ht="15.75" customHeight="1" outlineLevel="1">
      <c r="A42" s="19" t="b">
        <v>0</v>
      </c>
      <c r="B42" s="35" t="s">
        <v>513</v>
      </c>
      <c r="C42" s="35" t="s">
        <v>20</v>
      </c>
      <c r="D42" s="35" t="s">
        <v>577</v>
      </c>
      <c r="E42" s="35">
        <v>12.0</v>
      </c>
      <c r="F42" s="35">
        <v>2.0</v>
      </c>
      <c r="G42" s="35" t="s">
        <v>58</v>
      </c>
      <c r="H42" s="35" t="s">
        <v>31</v>
      </c>
      <c r="I42" s="35" t="s">
        <v>31</v>
      </c>
      <c r="J42" s="40" t="s">
        <v>579</v>
      </c>
      <c r="K42" s="19" t="b">
        <v>1</v>
      </c>
      <c r="L42" s="19" t="b">
        <v>1</v>
      </c>
      <c r="M42" s="202" t="b">
        <v>1</v>
      </c>
      <c r="N42" s="202" t="b">
        <v>1</v>
      </c>
      <c r="O42" s="202" t="b">
        <v>1</v>
      </c>
      <c r="P42" s="155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</row>
    <row r="43" ht="15.75" customHeight="1" outlineLevel="1">
      <c r="A43" s="19" t="b">
        <v>0</v>
      </c>
      <c r="B43" s="34" t="s">
        <v>580</v>
      </c>
      <c r="C43" s="35" t="s">
        <v>77</v>
      </c>
      <c r="D43" s="34" t="s">
        <v>21</v>
      </c>
      <c r="E43" s="34">
        <v>3.0</v>
      </c>
      <c r="F43" s="34">
        <v>1.0</v>
      </c>
      <c r="G43" s="34" t="s">
        <v>558</v>
      </c>
      <c r="H43" s="34" t="s">
        <v>23</v>
      </c>
      <c r="I43" s="34" t="s">
        <v>23</v>
      </c>
      <c r="J43" s="48" t="s">
        <v>581</v>
      </c>
      <c r="K43" s="19" t="b">
        <v>0</v>
      </c>
      <c r="L43" s="19" t="b">
        <v>0</v>
      </c>
      <c r="M43" s="202" t="b">
        <v>0</v>
      </c>
      <c r="N43" s="202" t="b">
        <v>0</v>
      </c>
      <c r="O43" s="202" t="b">
        <v>0</v>
      </c>
      <c r="P43" s="155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</row>
    <row r="44" ht="15.75" customHeight="1" outlineLevel="1">
      <c r="A44" s="19" t="b">
        <v>0</v>
      </c>
      <c r="B44" s="34" t="s">
        <v>582</v>
      </c>
      <c r="C44" s="35" t="s">
        <v>20</v>
      </c>
      <c r="D44" s="34" t="s">
        <v>21</v>
      </c>
      <c r="E44" s="34">
        <v>1.5</v>
      </c>
      <c r="F44" s="34">
        <v>1.0</v>
      </c>
      <c r="G44" s="34" t="s">
        <v>42</v>
      </c>
      <c r="H44" s="34" t="s">
        <v>23</v>
      </c>
      <c r="I44" s="34" t="s">
        <v>23</v>
      </c>
      <c r="J44" s="134">
        <v>45447.0</v>
      </c>
      <c r="K44" s="19" t="b">
        <v>0</v>
      </c>
      <c r="L44" s="19" t="b">
        <v>0</v>
      </c>
      <c r="M44" s="202" t="b">
        <v>0</v>
      </c>
      <c r="N44" s="202" t="b">
        <v>0</v>
      </c>
      <c r="O44" s="202" t="b">
        <v>0</v>
      </c>
      <c r="P44" s="155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</row>
    <row r="45" ht="15.75" customHeight="1" outlineLevel="1">
      <c r="A45" s="19" t="b">
        <v>0</v>
      </c>
      <c r="B45" s="34" t="s">
        <v>583</v>
      </c>
      <c r="C45" s="35" t="s">
        <v>20</v>
      </c>
      <c r="D45" s="34" t="s">
        <v>21</v>
      </c>
      <c r="E45" s="34">
        <v>1.0</v>
      </c>
      <c r="F45" s="34">
        <v>1.0</v>
      </c>
      <c r="G45" s="34" t="s">
        <v>22</v>
      </c>
      <c r="H45" s="34" t="s">
        <v>23</v>
      </c>
      <c r="I45" s="34" t="s">
        <v>23</v>
      </c>
      <c r="J45" s="149">
        <v>45868.0</v>
      </c>
      <c r="K45" s="19" t="b">
        <v>1</v>
      </c>
      <c r="L45" s="19" t="b">
        <v>0</v>
      </c>
      <c r="M45" s="202" t="b">
        <v>1</v>
      </c>
      <c r="N45" s="202" t="b">
        <v>1</v>
      </c>
      <c r="O45" s="202" t="b">
        <v>0</v>
      </c>
      <c r="P45" s="155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</row>
    <row r="46" ht="15.75" customHeight="1" outlineLevel="1">
      <c r="A46" s="19" t="b">
        <v>0</v>
      </c>
      <c r="B46" s="34" t="s">
        <v>584</v>
      </c>
      <c r="C46" s="35" t="s">
        <v>20</v>
      </c>
      <c r="D46" s="34" t="s">
        <v>21</v>
      </c>
      <c r="E46" s="34">
        <v>1.0</v>
      </c>
      <c r="F46" s="34">
        <v>1.0</v>
      </c>
      <c r="G46" s="34" t="s">
        <v>128</v>
      </c>
      <c r="H46" s="34" t="s">
        <v>23</v>
      </c>
      <c r="I46" s="34" t="s">
        <v>23</v>
      </c>
      <c r="J46" s="105" t="s">
        <v>585</v>
      </c>
      <c r="K46" s="19" t="b">
        <v>0</v>
      </c>
      <c r="L46" s="19" t="b">
        <v>0</v>
      </c>
      <c r="M46" s="202" t="b">
        <v>0</v>
      </c>
      <c r="N46" s="202" t="b">
        <v>0</v>
      </c>
      <c r="O46" s="202" t="b">
        <v>0</v>
      </c>
      <c r="P46" s="155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</row>
    <row r="47" ht="15.75" customHeight="1" outlineLevel="1">
      <c r="A47" s="19" t="b">
        <v>0</v>
      </c>
      <c r="B47" s="34" t="s">
        <v>586</v>
      </c>
      <c r="C47" s="35" t="s">
        <v>195</v>
      </c>
      <c r="D47" s="34" t="s">
        <v>21</v>
      </c>
      <c r="E47" s="34">
        <v>0.5</v>
      </c>
      <c r="F47" s="34">
        <v>1.0</v>
      </c>
      <c r="G47" s="34" t="s">
        <v>34</v>
      </c>
      <c r="H47" s="34" t="s">
        <v>23</v>
      </c>
      <c r="I47" s="34" t="s">
        <v>23</v>
      </c>
      <c r="J47" s="40" t="s">
        <v>531</v>
      </c>
      <c r="K47" s="19" t="b">
        <v>1</v>
      </c>
      <c r="L47" s="19" t="b">
        <v>0</v>
      </c>
      <c r="M47" s="202" t="b">
        <v>1</v>
      </c>
      <c r="N47" s="202" t="b">
        <v>1</v>
      </c>
      <c r="O47" s="202" t="b">
        <v>0</v>
      </c>
      <c r="P47" s="155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</row>
    <row r="48" ht="15.75" customHeight="1" outlineLevel="1">
      <c r="A48" s="106" t="b">
        <v>0</v>
      </c>
      <c r="B48" s="140" t="s">
        <v>587</v>
      </c>
      <c r="C48" s="86" t="s">
        <v>20</v>
      </c>
      <c r="D48" s="140" t="s">
        <v>21</v>
      </c>
      <c r="E48" s="140">
        <v>8.0</v>
      </c>
      <c r="F48" s="140">
        <v>2.0</v>
      </c>
      <c r="G48" s="140" t="s">
        <v>45</v>
      </c>
      <c r="H48" s="140" t="s">
        <v>23</v>
      </c>
      <c r="I48" s="140" t="s">
        <v>23</v>
      </c>
      <c r="J48" s="302" t="s">
        <v>588</v>
      </c>
      <c r="K48" s="106" t="b">
        <v>0</v>
      </c>
      <c r="L48" s="106" t="b">
        <v>0</v>
      </c>
      <c r="M48" s="267" t="b">
        <v>0</v>
      </c>
      <c r="N48" s="267" t="b">
        <v>0</v>
      </c>
      <c r="O48" s="267" t="b">
        <v>0</v>
      </c>
      <c r="P48" s="303"/>
      <c r="Q48" s="175"/>
      <c r="R48" s="175"/>
      <c r="S48" s="175"/>
      <c r="T48" s="175"/>
      <c r="U48" s="175"/>
      <c r="V48" s="175"/>
      <c r="W48" s="175"/>
      <c r="X48" s="175"/>
      <c r="Y48" s="175"/>
      <c r="Z48" s="175"/>
      <c r="AA48" s="175"/>
      <c r="AB48" s="175"/>
      <c r="AC48" s="175"/>
      <c r="AD48" s="175"/>
      <c r="AE48" s="175"/>
      <c r="AF48" s="175"/>
      <c r="AG48" s="175"/>
      <c r="AH48" s="175"/>
    </row>
    <row r="49" ht="15.75" customHeight="1" outlineLevel="1">
      <c r="A49" s="19" t="b">
        <v>0</v>
      </c>
      <c r="B49" s="35" t="s">
        <v>76</v>
      </c>
      <c r="C49" s="35" t="s">
        <v>20</v>
      </c>
      <c r="D49" s="35" t="s">
        <v>589</v>
      </c>
      <c r="E49" s="35">
        <v>3.0</v>
      </c>
      <c r="F49" s="35">
        <v>2.0</v>
      </c>
      <c r="G49" s="35" t="s">
        <v>70</v>
      </c>
      <c r="H49" s="35" t="s">
        <v>23</v>
      </c>
      <c r="I49" s="35" t="s">
        <v>31</v>
      </c>
      <c r="J49" s="304">
        <v>45686.0</v>
      </c>
      <c r="K49" s="19" t="b">
        <v>0</v>
      </c>
      <c r="L49" s="19" t="b">
        <v>0</v>
      </c>
      <c r="M49" s="202" t="b">
        <v>0</v>
      </c>
      <c r="N49" s="202" t="b">
        <v>0</v>
      </c>
      <c r="O49" s="202" t="b">
        <v>0</v>
      </c>
      <c r="P49" s="67" t="s">
        <v>590</v>
      </c>
      <c r="Q49" s="305" t="s">
        <v>591</v>
      </c>
      <c r="R49" s="306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</row>
    <row r="50" ht="15.75" customHeight="1" outlineLevel="1">
      <c r="A50" s="19" t="b">
        <v>0</v>
      </c>
      <c r="B50" s="35" t="s">
        <v>592</v>
      </c>
      <c r="C50" s="35" t="s">
        <v>20</v>
      </c>
      <c r="D50" s="35" t="s">
        <v>21</v>
      </c>
      <c r="E50" s="35">
        <v>1.0</v>
      </c>
      <c r="F50" s="35">
        <v>1.0</v>
      </c>
      <c r="G50" s="35" t="s">
        <v>22</v>
      </c>
      <c r="H50" s="35" t="s">
        <v>23</v>
      </c>
      <c r="I50" s="35" t="s">
        <v>23</v>
      </c>
      <c r="J50" s="149">
        <v>45810.0</v>
      </c>
      <c r="K50" s="19" t="b">
        <v>1</v>
      </c>
      <c r="L50" s="19" t="b">
        <v>0</v>
      </c>
      <c r="M50" s="202" t="b">
        <v>1</v>
      </c>
      <c r="N50" s="202" t="b">
        <v>1</v>
      </c>
      <c r="O50" s="202" t="b">
        <v>0</v>
      </c>
      <c r="P50" s="307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</row>
    <row r="51" ht="15.75" customHeight="1" outlineLevel="1">
      <c r="A51" s="19" t="b">
        <v>0</v>
      </c>
      <c r="B51" s="35" t="s">
        <v>522</v>
      </c>
      <c r="C51" s="35" t="s">
        <v>20</v>
      </c>
      <c r="D51" s="35" t="s">
        <v>21</v>
      </c>
      <c r="E51" s="35">
        <v>12.0</v>
      </c>
      <c r="F51" s="35">
        <v>2.0</v>
      </c>
      <c r="G51" s="35" t="s">
        <v>593</v>
      </c>
      <c r="H51" s="35" t="s">
        <v>23</v>
      </c>
      <c r="I51" s="35" t="s">
        <v>31</v>
      </c>
      <c r="J51" s="308">
        <v>45813.0</v>
      </c>
      <c r="K51" s="19" t="b">
        <v>1</v>
      </c>
      <c r="L51" s="19" t="b">
        <v>1</v>
      </c>
      <c r="M51" s="202" t="b">
        <v>1</v>
      </c>
      <c r="N51" s="202" t="b">
        <v>1</v>
      </c>
      <c r="O51" s="202" t="b">
        <v>1</v>
      </c>
      <c r="P51" s="155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</row>
    <row r="52" ht="15.75" customHeight="1" outlineLevel="1">
      <c r="A52" s="19" t="b">
        <v>0</v>
      </c>
      <c r="B52" s="35" t="s">
        <v>594</v>
      </c>
      <c r="C52" s="35" t="s">
        <v>20</v>
      </c>
      <c r="D52" s="35" t="s">
        <v>21</v>
      </c>
      <c r="E52" s="35">
        <v>1.0</v>
      </c>
      <c r="F52" s="35">
        <v>1.0</v>
      </c>
      <c r="G52" s="35" t="s">
        <v>22</v>
      </c>
      <c r="H52" s="35" t="s">
        <v>23</v>
      </c>
      <c r="I52" s="35" t="s">
        <v>23</v>
      </c>
      <c r="J52" s="308">
        <v>45828.0</v>
      </c>
      <c r="K52" s="19" t="b">
        <v>1</v>
      </c>
      <c r="L52" s="19" t="b">
        <v>0</v>
      </c>
      <c r="M52" s="202" t="b">
        <v>1</v>
      </c>
      <c r="N52" s="202" t="b">
        <v>1</v>
      </c>
      <c r="O52" s="202" t="b">
        <v>0</v>
      </c>
      <c r="P52" s="155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</row>
    <row r="53" ht="15.75" customHeight="1" outlineLevel="1">
      <c r="A53" s="19" t="b">
        <v>0</v>
      </c>
      <c r="B53" s="34" t="s">
        <v>595</v>
      </c>
      <c r="C53" s="35" t="s">
        <v>253</v>
      </c>
      <c r="D53" s="34" t="s">
        <v>596</v>
      </c>
      <c r="E53" s="34">
        <v>8.0</v>
      </c>
      <c r="F53" s="34">
        <v>2.0</v>
      </c>
      <c r="G53" s="34" t="s">
        <v>357</v>
      </c>
      <c r="H53" s="34" t="s">
        <v>31</v>
      </c>
      <c r="I53" s="34" t="s">
        <v>23</v>
      </c>
      <c r="J53" s="309">
        <v>45810.0</v>
      </c>
      <c r="K53" s="19" t="b">
        <v>1</v>
      </c>
      <c r="L53" s="19" t="b">
        <v>1</v>
      </c>
      <c r="M53" s="19" t="b">
        <v>1</v>
      </c>
      <c r="N53" s="19" t="b">
        <v>1</v>
      </c>
      <c r="O53" s="19" t="b">
        <v>1</v>
      </c>
      <c r="P53" s="155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</row>
    <row r="54" ht="15.75" customHeight="1" outlineLevel="1">
      <c r="A54" s="19" t="b">
        <v>0</v>
      </c>
      <c r="B54" s="35" t="s">
        <v>597</v>
      </c>
      <c r="C54" s="35" t="s">
        <v>20</v>
      </c>
      <c r="D54" s="35" t="s">
        <v>21</v>
      </c>
      <c r="E54" s="35">
        <v>1.0</v>
      </c>
      <c r="F54" s="35">
        <v>1.0</v>
      </c>
      <c r="G54" s="35" t="s">
        <v>22</v>
      </c>
      <c r="H54" s="35" t="s">
        <v>23</v>
      </c>
      <c r="I54" s="35" t="s">
        <v>23</v>
      </c>
      <c r="J54" s="308">
        <v>45835.0</v>
      </c>
      <c r="K54" s="19" t="b">
        <v>1</v>
      </c>
      <c r="L54" s="19" t="b">
        <v>1</v>
      </c>
      <c r="M54" s="202" t="b">
        <v>1</v>
      </c>
      <c r="N54" s="202" t="b">
        <v>1</v>
      </c>
      <c r="O54" s="202" t="b">
        <v>1</v>
      </c>
      <c r="P54" s="155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</row>
    <row r="55" ht="15.75" customHeight="1" outlineLevel="1">
      <c r="A55" s="19" t="b">
        <v>0</v>
      </c>
      <c r="B55" s="34" t="s">
        <v>490</v>
      </c>
      <c r="C55" s="35" t="s">
        <v>20</v>
      </c>
      <c r="D55" s="34" t="s">
        <v>21</v>
      </c>
      <c r="E55" s="34">
        <v>3.0</v>
      </c>
      <c r="F55" s="34">
        <v>1.0</v>
      </c>
      <c r="G55" s="34" t="s">
        <v>45</v>
      </c>
      <c r="H55" s="34" t="s">
        <v>23</v>
      </c>
      <c r="I55" s="34" t="s">
        <v>23</v>
      </c>
      <c r="J55" s="214">
        <v>45817.0</v>
      </c>
      <c r="K55" s="19" t="b">
        <v>1</v>
      </c>
      <c r="L55" s="19" t="b">
        <v>1</v>
      </c>
      <c r="M55" s="19" t="b">
        <v>1</v>
      </c>
      <c r="N55" s="19" t="b">
        <v>1</v>
      </c>
      <c r="O55" s="19" t="b">
        <v>1</v>
      </c>
      <c r="P55" s="155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</row>
    <row r="56" ht="15.75" customHeight="1" outlineLevel="1">
      <c r="A56" s="19" t="b">
        <v>0</v>
      </c>
      <c r="B56" s="34" t="s">
        <v>594</v>
      </c>
      <c r="C56" s="35" t="s">
        <v>20</v>
      </c>
      <c r="D56" s="34" t="s">
        <v>21</v>
      </c>
      <c r="E56" s="34">
        <v>1.0</v>
      </c>
      <c r="F56" s="34">
        <v>1.0</v>
      </c>
      <c r="G56" s="34" t="s">
        <v>22</v>
      </c>
      <c r="H56" s="34" t="s">
        <v>23</v>
      </c>
      <c r="I56" s="34" t="s">
        <v>23</v>
      </c>
      <c r="J56" s="168">
        <v>45828.0</v>
      </c>
      <c r="K56" s="19" t="b">
        <v>0</v>
      </c>
      <c r="L56" s="19" t="b">
        <v>0</v>
      </c>
      <c r="M56" s="19" t="b">
        <v>1</v>
      </c>
      <c r="N56" s="19" t="b">
        <v>1</v>
      </c>
      <c r="O56" s="19" t="b">
        <v>0</v>
      </c>
      <c r="P56" s="155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</row>
    <row r="57" ht="15.75" customHeight="1" outlineLevel="1">
      <c r="A57" s="19" t="b">
        <v>0</v>
      </c>
      <c r="B57" s="34"/>
      <c r="C57" s="35"/>
      <c r="D57" s="34"/>
      <c r="E57" s="34"/>
      <c r="F57" s="34"/>
      <c r="G57" s="34"/>
      <c r="H57" s="34"/>
      <c r="I57" s="34"/>
      <c r="J57" s="176"/>
      <c r="K57" s="19" t="b">
        <v>0</v>
      </c>
      <c r="L57" s="19" t="b">
        <v>0</v>
      </c>
      <c r="M57" s="19" t="b">
        <v>0</v>
      </c>
      <c r="N57" s="19" t="b">
        <v>0</v>
      </c>
      <c r="O57" s="19" t="b">
        <v>0</v>
      </c>
      <c r="P57" s="155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</row>
    <row r="58" ht="15.75" customHeight="1" outlineLevel="1">
      <c r="A58" s="117"/>
      <c r="B58" s="34"/>
      <c r="C58" s="34"/>
      <c r="D58" s="34"/>
      <c r="E58" s="34">
        <f>SUM(E3:E57)</f>
        <v>300.5</v>
      </c>
      <c r="F58" s="34"/>
      <c r="G58" s="34"/>
      <c r="H58" s="34"/>
      <c r="I58" s="34"/>
      <c r="J58" s="34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</row>
    <row r="59" ht="15.75" customHeight="1" outlineLevel="1">
      <c r="A59" s="117"/>
      <c r="B59" s="34"/>
      <c r="C59" s="34"/>
      <c r="D59" s="34"/>
      <c r="E59" s="34"/>
      <c r="F59" s="34"/>
      <c r="G59" s="34"/>
      <c r="H59" s="34"/>
      <c r="I59" s="34"/>
      <c r="J59" s="34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</row>
    <row r="60" ht="15.75" customHeight="1" outlineLevel="1">
      <c r="A60" s="117"/>
      <c r="B60" s="34"/>
      <c r="C60" s="34"/>
      <c r="D60" s="34"/>
      <c r="E60" s="34"/>
      <c r="F60" s="34"/>
      <c r="G60" s="34"/>
      <c r="H60" s="34"/>
      <c r="I60" s="34"/>
      <c r="J60" s="34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</row>
    <row r="61" ht="15.75" customHeight="1" outlineLevel="1">
      <c r="A61" s="117"/>
      <c r="B61" s="34"/>
      <c r="C61" s="34"/>
      <c r="D61" s="34"/>
      <c r="E61" s="34"/>
      <c r="F61" s="34"/>
      <c r="G61" s="34"/>
      <c r="H61" s="34"/>
      <c r="I61" s="34"/>
      <c r="J61" s="34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</row>
    <row r="62" ht="15.75" customHeight="1" outlineLevel="1">
      <c r="A62" s="117"/>
      <c r="B62" s="34"/>
      <c r="C62" s="34"/>
      <c r="D62" s="34"/>
      <c r="E62" s="34"/>
      <c r="F62" s="34"/>
      <c r="G62" s="34"/>
      <c r="H62" s="34"/>
      <c r="I62" s="34"/>
      <c r="J62" s="34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</row>
    <row r="63" ht="15.75" customHeight="1" outlineLevel="1">
      <c r="A63" s="117"/>
      <c r="B63" s="34"/>
      <c r="C63" s="34"/>
      <c r="D63" s="34"/>
      <c r="E63" s="34"/>
      <c r="F63" s="34"/>
      <c r="G63" s="34"/>
      <c r="H63" s="34"/>
      <c r="I63" s="34"/>
      <c r="J63" s="34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</row>
    <row r="64" ht="15.75" customHeight="1" outlineLevel="1">
      <c r="A64" s="117"/>
      <c r="B64" s="34"/>
      <c r="C64" s="34"/>
      <c r="D64" s="34"/>
      <c r="E64" s="34"/>
      <c r="F64" s="34"/>
      <c r="G64" s="34"/>
      <c r="H64" s="34"/>
      <c r="I64" s="34"/>
      <c r="J64" s="34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</row>
    <row r="65" ht="15.75" customHeight="1" outlineLevel="1">
      <c r="A65" s="117"/>
      <c r="B65" s="34"/>
      <c r="C65" s="34"/>
      <c r="D65" s="34"/>
      <c r="E65" s="34"/>
      <c r="F65" s="34"/>
      <c r="G65" s="34"/>
      <c r="H65" s="34"/>
      <c r="I65" s="34"/>
      <c r="J65" s="34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</row>
    <row r="66" ht="15.75" customHeight="1" outlineLevel="1">
      <c r="A66" s="117"/>
      <c r="B66" s="34"/>
      <c r="C66" s="34"/>
      <c r="D66" s="34"/>
      <c r="E66" s="34"/>
      <c r="F66" s="34"/>
      <c r="G66" s="34"/>
      <c r="H66" s="34"/>
      <c r="I66" s="34"/>
      <c r="J66" s="34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</row>
    <row r="67" ht="15.75" customHeight="1" outlineLevel="1">
      <c r="A67" s="117"/>
      <c r="B67" s="34"/>
      <c r="C67" s="34"/>
      <c r="D67" s="34"/>
      <c r="E67" s="34"/>
      <c r="F67" s="34"/>
      <c r="G67" s="34"/>
      <c r="H67" s="34"/>
      <c r="I67" s="34"/>
      <c r="J67" s="34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</row>
    <row r="68" ht="15.75" customHeight="1" outlineLevel="1">
      <c r="A68" s="117"/>
      <c r="B68" s="34"/>
      <c r="C68" s="34"/>
      <c r="D68" s="34"/>
      <c r="E68" s="34"/>
      <c r="F68" s="34"/>
      <c r="G68" s="34"/>
      <c r="H68" s="34"/>
      <c r="I68" s="34"/>
      <c r="J68" s="34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</row>
    <row r="69" ht="15.75" customHeight="1" outlineLevel="1">
      <c r="A69" s="117"/>
      <c r="B69" s="34"/>
      <c r="C69" s="34"/>
      <c r="D69" s="34"/>
      <c r="E69" s="34"/>
      <c r="F69" s="34"/>
      <c r="G69" s="34"/>
      <c r="H69" s="34"/>
      <c r="I69" s="34"/>
      <c r="J69" s="34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</row>
    <row r="70" ht="15.75" customHeight="1" outlineLevel="1">
      <c r="A70" s="117"/>
      <c r="B70" s="34"/>
      <c r="C70" s="34"/>
      <c r="D70" s="34"/>
      <c r="E70" s="34"/>
      <c r="F70" s="34"/>
      <c r="G70" s="34"/>
      <c r="H70" s="34"/>
      <c r="I70" s="34"/>
      <c r="J70" s="34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</row>
    <row r="71" ht="15.75" customHeight="1" outlineLevel="1">
      <c r="A71" s="117"/>
      <c r="B71" s="34"/>
      <c r="C71" s="34"/>
      <c r="D71" s="34"/>
      <c r="E71" s="34"/>
      <c r="F71" s="34"/>
      <c r="G71" s="34"/>
      <c r="H71" s="34"/>
      <c r="I71" s="34"/>
      <c r="J71" s="34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</row>
    <row r="72" ht="15.75" customHeight="1" outlineLevel="1">
      <c r="A72" s="117"/>
      <c r="B72" s="34"/>
      <c r="C72" s="34"/>
      <c r="D72" s="34"/>
      <c r="E72" s="34"/>
      <c r="F72" s="34"/>
      <c r="G72" s="34"/>
      <c r="H72" s="34"/>
      <c r="I72" s="34"/>
      <c r="J72" s="34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</row>
    <row r="73" ht="15.75" customHeight="1" outlineLevel="1">
      <c r="A73" s="117"/>
      <c r="B73" s="34"/>
      <c r="C73" s="34"/>
      <c r="D73" s="34"/>
      <c r="E73" s="34"/>
      <c r="F73" s="34"/>
      <c r="G73" s="34"/>
      <c r="H73" s="34"/>
      <c r="I73" s="34"/>
      <c r="J73" s="34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</row>
    <row r="74" ht="15.75" customHeight="1" outlineLevel="1">
      <c r="A74" s="117"/>
      <c r="B74" s="34"/>
      <c r="C74" s="34"/>
      <c r="D74" s="34"/>
      <c r="E74" s="34"/>
      <c r="F74" s="34"/>
      <c r="G74" s="34"/>
      <c r="H74" s="34"/>
      <c r="I74" s="34"/>
      <c r="J74" s="34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</row>
    <row r="75" ht="15.75" customHeight="1" outlineLevel="1">
      <c r="A75" s="117"/>
      <c r="B75" s="34"/>
      <c r="C75" s="34"/>
      <c r="D75" s="34"/>
      <c r="E75" s="34"/>
      <c r="F75" s="34"/>
      <c r="G75" s="34"/>
      <c r="H75" s="34"/>
      <c r="I75" s="34"/>
      <c r="J75" s="34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</row>
    <row r="76" ht="15.75" customHeight="1" outlineLevel="1">
      <c r="A76" s="117"/>
      <c r="B76" s="34"/>
      <c r="C76" s="34"/>
      <c r="D76" s="34"/>
      <c r="E76" s="34"/>
      <c r="F76" s="34"/>
      <c r="G76" s="34"/>
      <c r="H76" s="34"/>
      <c r="I76" s="34"/>
      <c r="J76" s="34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</row>
    <row r="77" ht="15.75" customHeight="1" outlineLevel="1">
      <c r="A77" s="117"/>
      <c r="B77" s="34"/>
      <c r="C77" s="34"/>
      <c r="D77" s="34"/>
      <c r="E77" s="34"/>
      <c r="F77" s="34"/>
      <c r="G77" s="34"/>
      <c r="H77" s="34"/>
      <c r="I77" s="34"/>
      <c r="J77" s="34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</row>
    <row r="78" ht="15.75" customHeight="1" outlineLevel="1">
      <c r="A78" s="117"/>
      <c r="B78" s="34"/>
      <c r="C78" s="34"/>
      <c r="D78" s="34"/>
      <c r="E78" s="34"/>
      <c r="F78" s="34"/>
      <c r="G78" s="34"/>
      <c r="H78" s="34"/>
      <c r="I78" s="34"/>
      <c r="J78" s="34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</row>
    <row r="79" ht="15.75" customHeight="1" outlineLevel="1">
      <c r="A79" s="117"/>
      <c r="B79" s="34"/>
      <c r="C79" s="34"/>
      <c r="D79" s="34"/>
      <c r="E79" s="34"/>
      <c r="F79" s="34"/>
      <c r="G79" s="34"/>
      <c r="H79" s="34"/>
      <c r="I79" s="34"/>
      <c r="J79" s="34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</row>
    <row r="80" ht="15.75" customHeight="1" outlineLevel="1">
      <c r="A80" s="117"/>
      <c r="B80" s="34"/>
      <c r="C80" s="34"/>
      <c r="D80" s="34"/>
      <c r="E80" s="34"/>
      <c r="F80" s="34"/>
      <c r="G80" s="34"/>
      <c r="H80" s="34"/>
      <c r="I80" s="34"/>
      <c r="J80" s="34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</row>
    <row r="81" ht="15.75" customHeight="1" outlineLevel="1">
      <c r="A81" s="117"/>
      <c r="B81" s="34"/>
      <c r="C81" s="34"/>
      <c r="D81" s="34"/>
      <c r="E81" s="34"/>
      <c r="F81" s="34"/>
      <c r="G81" s="34"/>
      <c r="H81" s="34"/>
      <c r="I81" s="34"/>
      <c r="J81" s="34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</row>
    <row r="82" ht="15.75" customHeight="1" outlineLevel="1">
      <c r="A82" s="117"/>
      <c r="B82" s="34"/>
      <c r="C82" s="34"/>
      <c r="D82" s="34"/>
      <c r="E82" s="34"/>
      <c r="F82" s="34"/>
      <c r="G82" s="34"/>
      <c r="H82" s="34"/>
      <c r="I82" s="34"/>
      <c r="J82" s="34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</row>
    <row r="83" ht="15.75" customHeight="1" outlineLevel="1">
      <c r="A83" s="117"/>
      <c r="B83" s="34"/>
      <c r="C83" s="34"/>
      <c r="D83" s="34"/>
      <c r="E83" s="34"/>
      <c r="F83" s="34"/>
      <c r="G83" s="34"/>
      <c r="H83" s="34"/>
      <c r="I83" s="34"/>
      <c r="J83" s="34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</row>
    <row r="84" ht="15.75" customHeight="1" outlineLevel="1">
      <c r="A84" s="117"/>
      <c r="B84" s="34"/>
      <c r="C84" s="34"/>
      <c r="D84" s="34"/>
      <c r="E84" s="34"/>
      <c r="F84" s="34"/>
      <c r="G84" s="34"/>
      <c r="H84" s="34"/>
      <c r="I84" s="34"/>
      <c r="J84" s="34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</row>
    <row r="85" ht="15.75" customHeight="1" outlineLevel="1">
      <c r="A85" s="117"/>
      <c r="B85" s="34"/>
      <c r="C85" s="34"/>
      <c r="D85" s="34"/>
      <c r="E85" s="34"/>
      <c r="F85" s="34"/>
      <c r="G85" s="34"/>
      <c r="H85" s="34"/>
      <c r="I85" s="34"/>
      <c r="J85" s="34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</row>
    <row r="86" ht="15.75" customHeight="1" outlineLevel="1">
      <c r="A86" s="117"/>
      <c r="B86" s="34"/>
      <c r="C86" s="34"/>
      <c r="D86" s="34"/>
      <c r="E86" s="34"/>
      <c r="F86" s="34"/>
      <c r="G86" s="34"/>
      <c r="H86" s="34"/>
      <c r="I86" s="34"/>
      <c r="J86" s="34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</row>
    <row r="87" ht="15.75" customHeight="1" outlineLevel="1">
      <c r="A87" s="117"/>
      <c r="B87" s="34"/>
      <c r="C87" s="34"/>
      <c r="D87" s="34"/>
      <c r="E87" s="34"/>
      <c r="F87" s="34"/>
      <c r="G87" s="34"/>
      <c r="H87" s="34"/>
      <c r="I87" s="34"/>
      <c r="J87" s="34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</row>
    <row r="88" ht="15.75" customHeight="1" outlineLevel="1">
      <c r="A88" s="117"/>
      <c r="B88" s="34"/>
      <c r="C88" s="34"/>
      <c r="D88" s="34"/>
      <c r="E88" s="34"/>
      <c r="F88" s="34"/>
      <c r="G88" s="34"/>
      <c r="H88" s="34"/>
      <c r="I88" s="34"/>
      <c r="J88" s="34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</row>
    <row r="89" ht="15.75" customHeight="1" outlineLevel="1">
      <c r="A89" s="117"/>
      <c r="B89" s="34"/>
      <c r="C89" s="34"/>
      <c r="D89" s="34"/>
      <c r="E89" s="34"/>
      <c r="F89" s="34"/>
      <c r="G89" s="34"/>
      <c r="H89" s="34"/>
      <c r="I89" s="34"/>
      <c r="J89" s="34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</row>
    <row r="90" ht="15.75" customHeight="1" outlineLevel="1">
      <c r="A90" s="117"/>
      <c r="B90" s="34"/>
      <c r="C90" s="34"/>
      <c r="D90" s="34"/>
      <c r="E90" s="34"/>
      <c r="F90" s="34"/>
      <c r="G90" s="34"/>
      <c r="H90" s="34"/>
      <c r="I90" s="34"/>
      <c r="J90" s="34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</row>
    <row r="91" ht="15.75" customHeight="1" outlineLevel="1">
      <c r="A91" s="117"/>
      <c r="B91" s="34"/>
      <c r="C91" s="34"/>
      <c r="D91" s="34"/>
      <c r="E91" s="34"/>
      <c r="F91" s="34"/>
      <c r="G91" s="34"/>
      <c r="H91" s="34"/>
      <c r="I91" s="34"/>
      <c r="J91" s="34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</row>
    <row r="92" ht="15.75" customHeight="1" outlineLevel="1">
      <c r="A92" s="117"/>
      <c r="B92" s="34"/>
      <c r="C92" s="34"/>
      <c r="D92" s="34"/>
      <c r="E92" s="34"/>
      <c r="F92" s="34"/>
      <c r="G92" s="34"/>
      <c r="H92" s="34"/>
      <c r="I92" s="34"/>
      <c r="J92" s="34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</row>
    <row r="93" ht="15.75" customHeight="1" outlineLevel="1">
      <c r="A93" s="117"/>
      <c r="B93" s="34"/>
      <c r="C93" s="34"/>
      <c r="D93" s="34"/>
      <c r="E93" s="34"/>
      <c r="F93" s="34"/>
      <c r="G93" s="34"/>
      <c r="H93" s="34"/>
      <c r="I93" s="34"/>
      <c r="J93" s="34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</row>
    <row r="94" ht="15.75" customHeight="1" outlineLevel="1">
      <c r="A94" s="117"/>
      <c r="B94" s="34"/>
      <c r="C94" s="34"/>
      <c r="D94" s="34"/>
      <c r="E94" s="34"/>
      <c r="F94" s="34"/>
      <c r="G94" s="34"/>
      <c r="H94" s="34"/>
      <c r="I94" s="34"/>
      <c r="J94" s="34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</row>
    <row r="95" ht="15.75" customHeight="1" outlineLevel="1">
      <c r="A95" s="117"/>
      <c r="B95" s="34"/>
      <c r="C95" s="34"/>
      <c r="D95" s="34"/>
      <c r="E95" s="34"/>
      <c r="F95" s="34"/>
      <c r="G95" s="34"/>
      <c r="H95" s="34"/>
      <c r="I95" s="34"/>
      <c r="J95" s="34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</row>
    <row r="96" ht="15.75" customHeight="1" outlineLevel="1">
      <c r="A96" s="117"/>
      <c r="B96" s="34"/>
      <c r="C96" s="34"/>
      <c r="D96" s="34"/>
      <c r="E96" s="34"/>
      <c r="F96" s="34"/>
      <c r="G96" s="34"/>
      <c r="H96" s="34"/>
      <c r="I96" s="34"/>
      <c r="J96" s="34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</row>
    <row r="97" ht="15.75" customHeight="1" outlineLevel="1">
      <c r="A97" s="117"/>
      <c r="B97" s="34"/>
      <c r="C97" s="34"/>
      <c r="D97" s="34"/>
      <c r="E97" s="34"/>
      <c r="F97" s="34"/>
      <c r="G97" s="34"/>
      <c r="H97" s="34"/>
      <c r="I97" s="34"/>
      <c r="J97" s="34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</row>
    <row r="98" ht="15.75" customHeight="1" outlineLevel="1">
      <c r="A98" s="117"/>
      <c r="B98" s="34"/>
      <c r="C98" s="34"/>
      <c r="D98" s="34"/>
      <c r="E98" s="34"/>
      <c r="F98" s="34"/>
      <c r="G98" s="34"/>
      <c r="H98" s="34"/>
      <c r="I98" s="34"/>
      <c r="J98" s="34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</row>
    <row r="99" ht="15.75" customHeight="1" outlineLevel="1">
      <c r="A99" s="117"/>
      <c r="B99" s="34"/>
      <c r="C99" s="34"/>
      <c r="D99" s="34"/>
      <c r="E99" s="34"/>
      <c r="F99" s="34"/>
      <c r="G99" s="34"/>
      <c r="H99" s="34"/>
      <c r="I99" s="34"/>
      <c r="J99" s="34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</row>
    <row r="100" ht="15.75" customHeight="1" outlineLevel="1">
      <c r="A100" s="117"/>
      <c r="B100" s="34"/>
      <c r="C100" s="34"/>
      <c r="D100" s="34"/>
      <c r="E100" s="34"/>
      <c r="F100" s="34"/>
      <c r="G100" s="34"/>
      <c r="H100" s="34"/>
      <c r="I100" s="34"/>
      <c r="J100" s="34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</row>
    <row r="101" ht="15.75" customHeight="1" outlineLevel="1">
      <c r="A101" s="117"/>
      <c r="B101" s="34"/>
      <c r="C101" s="34"/>
      <c r="D101" s="34"/>
      <c r="E101" s="34"/>
      <c r="F101" s="34"/>
      <c r="G101" s="34"/>
      <c r="H101" s="34"/>
      <c r="I101" s="34"/>
      <c r="J101" s="34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</row>
    <row r="102" ht="15.75" customHeight="1">
      <c r="A102" s="117"/>
      <c r="B102" s="118"/>
      <c r="C102" s="96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</row>
    <row r="103" ht="15.75" customHeight="1">
      <c r="A103" s="117"/>
      <c r="B103" s="118"/>
      <c r="C103" s="310"/>
      <c r="Z103" s="118"/>
      <c r="AA103" s="118"/>
      <c r="AB103" s="118"/>
      <c r="AC103" s="118"/>
      <c r="AD103" s="118"/>
      <c r="AE103" s="118"/>
      <c r="AF103" s="118"/>
      <c r="AG103" s="118"/>
      <c r="AH103" s="118"/>
    </row>
    <row r="104" ht="15.75" customHeight="1">
      <c r="A104" s="117"/>
      <c r="B104" s="118"/>
      <c r="C104" s="310"/>
      <c r="Z104" s="118"/>
      <c r="AA104" s="118"/>
      <c r="AB104" s="118"/>
      <c r="AC104" s="118"/>
      <c r="AD104" s="118"/>
      <c r="AE104" s="118"/>
      <c r="AF104" s="118"/>
      <c r="AG104" s="118"/>
      <c r="AH104" s="118"/>
    </row>
    <row r="105" ht="15.75" customHeight="1">
      <c r="A105" s="118"/>
      <c r="B105" s="118"/>
      <c r="C105" s="310"/>
      <c r="Z105" s="118"/>
      <c r="AA105" s="118"/>
      <c r="AB105" s="118"/>
      <c r="AC105" s="118"/>
      <c r="AD105" s="118"/>
      <c r="AE105" s="118"/>
      <c r="AF105" s="118"/>
      <c r="AG105" s="118"/>
      <c r="AH105" s="118"/>
    </row>
    <row r="106" ht="15.75" customHeight="1">
      <c r="A106" s="118"/>
      <c r="B106" s="118"/>
      <c r="C106" s="310"/>
      <c r="Z106" s="118"/>
      <c r="AA106" s="118"/>
      <c r="AB106" s="118"/>
      <c r="AC106" s="118"/>
      <c r="AD106" s="118"/>
      <c r="AE106" s="118"/>
      <c r="AF106" s="118"/>
      <c r="AG106" s="118"/>
      <c r="AH106" s="118"/>
    </row>
    <row r="107" ht="15.75" customHeight="1">
      <c r="A107" s="118"/>
      <c r="B107" s="118"/>
      <c r="C107" s="310"/>
      <c r="Z107" s="118"/>
      <c r="AA107" s="118"/>
      <c r="AB107" s="118"/>
      <c r="AC107" s="118"/>
      <c r="AD107" s="118"/>
      <c r="AE107" s="118"/>
      <c r="AF107" s="118"/>
      <c r="AG107" s="118"/>
      <c r="AH107" s="118"/>
    </row>
    <row r="108" ht="15.75" customHeight="1">
      <c r="A108" s="118"/>
      <c r="B108" s="118"/>
      <c r="C108" s="310"/>
      <c r="Z108" s="118"/>
      <c r="AA108" s="118"/>
      <c r="AB108" s="118"/>
      <c r="AC108" s="118"/>
      <c r="AD108" s="118"/>
      <c r="AE108" s="118"/>
      <c r="AF108" s="118"/>
      <c r="AG108" s="118"/>
      <c r="AH108" s="118"/>
    </row>
    <row r="109" ht="15.75" customHeight="1">
      <c r="A109" s="118"/>
      <c r="B109" s="118"/>
      <c r="C109" s="96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</row>
    <row r="110" ht="15.75" customHeight="1">
      <c r="A110" s="118"/>
      <c r="B110" s="118"/>
      <c r="C110" s="96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</row>
    <row r="111" ht="15.75" customHeight="1">
      <c r="A111" s="118"/>
      <c r="B111" s="118"/>
      <c r="C111" s="96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</row>
    <row r="112" ht="15.75" customHeight="1">
      <c r="A112" s="118"/>
      <c r="B112" s="118"/>
      <c r="C112" s="96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</row>
    <row r="113" ht="15.75" customHeight="1">
      <c r="A113" s="118"/>
      <c r="B113" s="118"/>
      <c r="C113" s="96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</row>
    <row r="114" ht="15.75" customHeight="1">
      <c r="A114" s="118"/>
      <c r="B114" s="118"/>
      <c r="C114" s="96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</row>
    <row r="115" ht="15.75" customHeight="1">
      <c r="A115" s="118"/>
      <c r="B115" s="118"/>
      <c r="C115" s="96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</row>
    <row r="116" ht="15.75" customHeight="1">
      <c r="A116" s="118"/>
      <c r="B116" s="118"/>
      <c r="C116" s="96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</row>
    <row r="117" ht="15.75" customHeight="1">
      <c r="A117" s="118"/>
      <c r="B117" s="118"/>
      <c r="C117" s="96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</row>
    <row r="118" ht="15.75" customHeight="1">
      <c r="A118" s="118"/>
      <c r="B118" s="118"/>
      <c r="C118" s="96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</row>
    <row r="119" ht="15.75" customHeight="1">
      <c r="A119" s="118"/>
      <c r="B119" s="118"/>
      <c r="C119" s="96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</row>
    <row r="120" ht="15.75" customHeight="1">
      <c r="A120" s="118"/>
      <c r="B120" s="118"/>
      <c r="C120" s="96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</row>
    <row r="121" ht="15.75" customHeight="1">
      <c r="A121" s="118"/>
      <c r="B121" s="118"/>
      <c r="C121" s="96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</row>
    <row r="122" ht="15.75" customHeight="1">
      <c r="A122" s="118"/>
      <c r="B122" s="118"/>
      <c r="C122" s="96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</row>
    <row r="123" ht="15.75" customHeight="1">
      <c r="A123" s="118"/>
      <c r="B123" s="118"/>
      <c r="C123" s="96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</row>
    <row r="124" ht="15.75" customHeight="1">
      <c r="A124" s="118"/>
      <c r="B124" s="118"/>
      <c r="C124" s="96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</row>
    <row r="125" ht="15.75" customHeight="1">
      <c r="A125" s="118"/>
      <c r="B125" s="118"/>
      <c r="C125" s="96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</row>
    <row r="126" ht="15.75" customHeight="1">
      <c r="A126" s="118"/>
      <c r="B126" s="118"/>
      <c r="C126" s="96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</row>
    <row r="127" ht="15.75" customHeight="1">
      <c r="A127" s="118"/>
      <c r="B127" s="118"/>
      <c r="C127" s="96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</row>
    <row r="128" ht="15.75" customHeight="1">
      <c r="A128" s="118"/>
      <c r="B128" s="118"/>
      <c r="C128" s="96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</row>
    <row r="129" ht="15.75" customHeight="1">
      <c r="A129" s="118"/>
      <c r="B129" s="118"/>
      <c r="C129" s="96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</row>
    <row r="130" ht="15.75" customHeight="1">
      <c r="A130" s="118"/>
      <c r="B130" s="118"/>
      <c r="C130" s="96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</row>
    <row r="131" ht="15.75" customHeight="1">
      <c r="A131" s="118"/>
      <c r="B131" s="118"/>
      <c r="C131" s="96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</row>
    <row r="132" ht="15.75" customHeight="1">
      <c r="A132" s="118"/>
      <c r="B132" s="118"/>
      <c r="C132" s="96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</row>
    <row r="133" ht="15.75" customHeight="1">
      <c r="A133" s="118"/>
      <c r="B133" s="118"/>
      <c r="C133" s="96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</row>
    <row r="134" ht="15.75" customHeight="1">
      <c r="A134" s="118"/>
      <c r="B134" s="118"/>
      <c r="C134" s="96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</row>
    <row r="135" ht="15.75" customHeight="1">
      <c r="A135" s="118"/>
      <c r="B135" s="118"/>
      <c r="C135" s="96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</row>
    <row r="136" ht="15.75" customHeight="1">
      <c r="A136" s="118"/>
      <c r="B136" s="118"/>
      <c r="C136" s="96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</row>
    <row r="137" ht="15.75" customHeight="1">
      <c r="A137" s="118"/>
      <c r="B137" s="118"/>
      <c r="C137" s="96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</row>
    <row r="138" ht="15.75" customHeight="1">
      <c r="A138" s="118"/>
      <c r="B138" s="118"/>
      <c r="C138" s="96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</row>
    <row r="139" ht="15.75" customHeight="1">
      <c r="A139" s="118"/>
      <c r="B139" s="118"/>
      <c r="C139" s="96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</row>
    <row r="140" ht="15.75" customHeight="1">
      <c r="A140" s="118"/>
      <c r="B140" s="118"/>
      <c r="C140" s="96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</row>
    <row r="141" ht="15.75" customHeight="1">
      <c r="A141" s="118"/>
      <c r="B141" s="118"/>
      <c r="C141" s="96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</row>
    <row r="142" ht="15.75" customHeight="1">
      <c r="A142" s="118"/>
      <c r="B142" s="118"/>
      <c r="C142" s="96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</row>
    <row r="143" ht="15.75" customHeight="1">
      <c r="A143" s="118"/>
      <c r="B143" s="118"/>
      <c r="C143" s="96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</row>
    <row r="144" ht="15.75" customHeight="1">
      <c r="A144" s="118"/>
      <c r="B144" s="118"/>
      <c r="C144" s="96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</row>
    <row r="145" ht="15.75" customHeight="1">
      <c r="A145" s="118"/>
      <c r="B145" s="118"/>
      <c r="C145" s="96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</row>
    <row r="146" ht="15.75" customHeight="1">
      <c r="A146" s="118"/>
      <c r="B146" s="118"/>
      <c r="C146" s="96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</row>
    <row r="147" ht="15.75" customHeight="1">
      <c r="A147" s="118"/>
      <c r="B147" s="118"/>
      <c r="C147" s="96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</row>
    <row r="148" ht="15.75" customHeight="1">
      <c r="A148" s="118"/>
      <c r="B148" s="118"/>
      <c r="C148" s="96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</row>
    <row r="149" ht="15.75" customHeight="1">
      <c r="A149" s="118"/>
      <c r="B149" s="118"/>
      <c r="C149" s="96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</row>
    <row r="150" ht="15.75" customHeight="1">
      <c r="A150" s="118"/>
      <c r="B150" s="118"/>
      <c r="C150" s="96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</row>
    <row r="151" ht="15.75" customHeight="1">
      <c r="A151" s="118"/>
      <c r="B151" s="118"/>
      <c r="C151" s="96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</row>
    <row r="152" ht="15.75" customHeight="1">
      <c r="A152" s="118"/>
      <c r="B152" s="118"/>
      <c r="C152" s="96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</row>
    <row r="153" ht="15.75" customHeight="1">
      <c r="A153" s="118"/>
      <c r="B153" s="118"/>
      <c r="C153" s="96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</row>
    <row r="154" ht="15.75" customHeight="1">
      <c r="A154" s="118"/>
      <c r="B154" s="118"/>
      <c r="C154" s="96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</row>
    <row r="155" ht="15.75" customHeight="1">
      <c r="A155" s="118"/>
      <c r="B155" s="118"/>
      <c r="C155" s="96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</row>
    <row r="156" ht="15.75" customHeight="1">
      <c r="A156" s="118"/>
      <c r="B156" s="118"/>
      <c r="C156" s="96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</row>
    <row r="157" ht="15.75" customHeight="1">
      <c r="A157" s="118"/>
      <c r="B157" s="118"/>
      <c r="C157" s="96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</row>
    <row r="158" ht="15.75" customHeight="1">
      <c r="A158" s="118"/>
      <c r="B158" s="118"/>
      <c r="C158" s="96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</row>
    <row r="159" ht="15.75" customHeight="1">
      <c r="A159" s="118"/>
      <c r="B159" s="118"/>
      <c r="C159" s="96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</row>
    <row r="160" ht="15.75" customHeight="1">
      <c r="A160" s="118"/>
      <c r="B160" s="118"/>
      <c r="C160" s="96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</row>
    <row r="161" ht="15.75" customHeight="1">
      <c r="A161" s="118"/>
      <c r="B161" s="118"/>
      <c r="C161" s="96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</row>
    <row r="162" ht="15.75" customHeight="1">
      <c r="A162" s="118"/>
      <c r="B162" s="118"/>
      <c r="C162" s="96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</row>
    <row r="163" ht="15.75" customHeight="1">
      <c r="A163" s="118"/>
      <c r="B163" s="118"/>
      <c r="C163" s="96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</row>
    <row r="164" ht="15.75" customHeight="1">
      <c r="A164" s="118"/>
      <c r="B164" s="118"/>
      <c r="C164" s="96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</row>
    <row r="165" ht="15.75" customHeight="1">
      <c r="A165" s="118"/>
      <c r="B165" s="118"/>
      <c r="C165" s="96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</row>
    <row r="166" ht="15.75" customHeight="1">
      <c r="A166" s="118"/>
      <c r="B166" s="118"/>
      <c r="C166" s="96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</row>
    <row r="167" ht="15.75" customHeight="1">
      <c r="A167" s="118"/>
      <c r="B167" s="118"/>
      <c r="C167" s="96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</row>
    <row r="168" ht="15.75" customHeight="1">
      <c r="A168" s="118"/>
      <c r="B168" s="118"/>
      <c r="C168" s="96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</row>
    <row r="169" ht="15.75" customHeight="1">
      <c r="A169" s="118"/>
      <c r="B169" s="118"/>
      <c r="C169" s="96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</row>
    <row r="170" ht="15.75" customHeight="1">
      <c r="A170" s="118"/>
      <c r="B170" s="118"/>
      <c r="C170" s="96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</row>
    <row r="171" ht="15.75" customHeight="1">
      <c r="A171" s="118"/>
      <c r="B171" s="118"/>
      <c r="C171" s="96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</row>
    <row r="172" ht="15.75" customHeight="1">
      <c r="A172" s="118"/>
      <c r="B172" s="118"/>
      <c r="C172" s="96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</row>
    <row r="173" ht="15.75" customHeight="1">
      <c r="A173" s="118"/>
      <c r="B173" s="118"/>
      <c r="C173" s="96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</row>
    <row r="174" ht="15.75" customHeight="1">
      <c r="A174" s="118"/>
      <c r="B174" s="118"/>
      <c r="C174" s="96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</row>
    <row r="175" ht="15.75" customHeight="1">
      <c r="A175" s="118"/>
      <c r="B175" s="118"/>
      <c r="C175" s="96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</row>
    <row r="176" ht="15.75" customHeight="1">
      <c r="A176" s="118"/>
      <c r="B176" s="118"/>
      <c r="C176" s="96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</row>
    <row r="177" ht="15.75" customHeight="1">
      <c r="A177" s="118"/>
      <c r="B177" s="118"/>
      <c r="C177" s="96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</row>
    <row r="178" ht="15.75" customHeight="1">
      <c r="A178" s="118"/>
      <c r="B178" s="118"/>
      <c r="C178" s="96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</row>
    <row r="179" ht="15.75" customHeight="1">
      <c r="A179" s="118"/>
      <c r="B179" s="118"/>
      <c r="C179" s="96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</row>
    <row r="180" ht="15.75" customHeight="1">
      <c r="A180" s="118"/>
      <c r="B180" s="118"/>
      <c r="C180" s="96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</row>
    <row r="181" ht="15.75" customHeight="1">
      <c r="A181" s="118"/>
      <c r="B181" s="118"/>
      <c r="C181" s="96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</row>
    <row r="182" ht="15.75" customHeight="1">
      <c r="A182" s="118"/>
      <c r="B182" s="118"/>
      <c r="C182" s="96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</row>
    <row r="183" ht="15.75" customHeight="1">
      <c r="A183" s="118"/>
      <c r="B183" s="118"/>
      <c r="C183" s="96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</row>
    <row r="184" ht="15.75" customHeight="1">
      <c r="A184" s="118"/>
      <c r="B184" s="118"/>
      <c r="C184" s="96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</row>
    <row r="185" ht="15.75" customHeight="1">
      <c r="A185" s="118"/>
      <c r="B185" s="118"/>
      <c r="C185" s="96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</row>
    <row r="186" ht="15.75" customHeight="1">
      <c r="A186" s="118"/>
      <c r="B186" s="118"/>
      <c r="C186" s="96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</row>
    <row r="187" ht="15.75" customHeight="1">
      <c r="A187" s="118"/>
      <c r="B187" s="118"/>
      <c r="C187" s="96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</row>
    <row r="188" ht="15.75" customHeight="1">
      <c r="A188" s="118"/>
      <c r="B188" s="118"/>
      <c r="C188" s="96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</row>
    <row r="189" ht="15.75" customHeight="1">
      <c r="A189" s="118"/>
      <c r="B189" s="118"/>
      <c r="C189" s="96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</row>
    <row r="190" ht="15.75" customHeight="1">
      <c r="A190" s="118"/>
      <c r="B190" s="118"/>
      <c r="C190" s="96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</row>
    <row r="191" ht="15.75" customHeight="1">
      <c r="A191" s="118"/>
      <c r="B191" s="118"/>
      <c r="C191" s="96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</row>
    <row r="192" ht="15.75" customHeight="1">
      <c r="A192" s="118"/>
      <c r="B192" s="118"/>
      <c r="C192" s="96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</row>
    <row r="193" ht="15.75" customHeight="1">
      <c r="A193" s="118"/>
      <c r="B193" s="118"/>
      <c r="C193" s="96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</row>
    <row r="194" ht="15.75" customHeight="1">
      <c r="A194" s="118"/>
      <c r="B194" s="118"/>
      <c r="C194" s="96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</row>
    <row r="195" ht="15.75" customHeight="1">
      <c r="A195" s="118"/>
      <c r="B195" s="118"/>
      <c r="C195" s="96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</row>
    <row r="196" ht="15.75" customHeight="1">
      <c r="A196" s="118"/>
      <c r="B196" s="118"/>
      <c r="C196" s="96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</row>
    <row r="197" ht="15.75" customHeight="1">
      <c r="A197" s="118"/>
      <c r="B197" s="118"/>
      <c r="C197" s="96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</row>
    <row r="198" ht="15.75" customHeight="1">
      <c r="A198" s="118"/>
      <c r="B198" s="118"/>
      <c r="C198" s="96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</row>
    <row r="199" ht="15.75" customHeight="1">
      <c r="A199" s="118"/>
      <c r="B199" s="118"/>
      <c r="C199" s="96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</row>
    <row r="200" ht="15.75" customHeight="1">
      <c r="A200" s="118"/>
      <c r="B200" s="118"/>
      <c r="C200" s="96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</row>
    <row r="201" ht="15.75" customHeight="1">
      <c r="A201" s="118"/>
      <c r="B201" s="118"/>
      <c r="C201" s="96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</row>
    <row r="202" ht="15.75" customHeight="1">
      <c r="A202" s="118"/>
      <c r="B202" s="118"/>
      <c r="C202" s="96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</row>
    <row r="203" ht="15.75" customHeight="1">
      <c r="A203" s="118"/>
      <c r="B203" s="118"/>
      <c r="C203" s="96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</row>
    <row r="204" ht="15.75" customHeight="1">
      <c r="A204" s="118"/>
      <c r="B204" s="118"/>
      <c r="C204" s="96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</row>
    <row r="205" ht="15.75" customHeight="1">
      <c r="A205" s="118"/>
      <c r="B205" s="118"/>
      <c r="C205" s="96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</row>
    <row r="206" ht="15.75" customHeight="1">
      <c r="A206" s="118"/>
      <c r="B206" s="118"/>
      <c r="C206" s="96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</row>
    <row r="207" ht="15.75" customHeight="1">
      <c r="A207" s="118"/>
      <c r="B207" s="118"/>
      <c r="C207" s="96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</row>
    <row r="208" ht="15.75" customHeight="1">
      <c r="A208" s="118"/>
      <c r="B208" s="118"/>
      <c r="C208" s="96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</row>
    <row r="209" ht="15.75" customHeight="1">
      <c r="A209" s="118"/>
      <c r="B209" s="118"/>
      <c r="C209" s="96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</row>
    <row r="210" ht="15.75" customHeight="1">
      <c r="A210" s="118"/>
      <c r="B210" s="118"/>
      <c r="C210" s="96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</row>
    <row r="211" ht="15.75" customHeight="1">
      <c r="A211" s="118"/>
      <c r="B211" s="118"/>
      <c r="C211" s="96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</row>
    <row r="212" ht="15.75" customHeight="1">
      <c r="A212" s="118"/>
      <c r="B212" s="118"/>
      <c r="C212" s="96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</row>
    <row r="213" ht="15.75" customHeight="1">
      <c r="A213" s="118"/>
      <c r="B213" s="118"/>
      <c r="C213" s="96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</row>
    <row r="214" ht="15.75" customHeight="1">
      <c r="A214" s="118"/>
      <c r="B214" s="118"/>
      <c r="C214" s="96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</row>
    <row r="215" ht="15.75" customHeight="1">
      <c r="A215" s="118"/>
      <c r="B215" s="118"/>
      <c r="C215" s="96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</row>
    <row r="216" ht="15.75" customHeight="1">
      <c r="A216" s="118"/>
      <c r="B216" s="118"/>
      <c r="C216" s="96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</row>
    <row r="217" ht="15.75" customHeight="1">
      <c r="A217" s="118"/>
      <c r="B217" s="118"/>
      <c r="C217" s="96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</row>
    <row r="218" ht="15.75" customHeight="1">
      <c r="A218" s="118"/>
      <c r="B218" s="118"/>
      <c r="C218" s="96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</row>
    <row r="219" ht="15.75" customHeight="1">
      <c r="A219" s="118"/>
      <c r="B219" s="118"/>
      <c r="C219" s="96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</row>
    <row r="220" ht="15.75" customHeight="1">
      <c r="A220" s="118"/>
      <c r="B220" s="118"/>
      <c r="C220" s="96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</row>
    <row r="221" ht="15.75" customHeight="1">
      <c r="A221" s="118"/>
      <c r="B221" s="118"/>
      <c r="C221" s="96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</row>
    <row r="222" ht="15.75" customHeight="1">
      <c r="A222" s="118"/>
      <c r="B222" s="118"/>
      <c r="C222" s="96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</row>
    <row r="223" ht="15.75" customHeight="1">
      <c r="A223" s="118"/>
      <c r="B223" s="118"/>
      <c r="C223" s="96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</row>
    <row r="224" ht="15.75" customHeight="1">
      <c r="A224" s="118"/>
      <c r="B224" s="118"/>
      <c r="C224" s="96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</row>
    <row r="225" ht="15.75" customHeight="1">
      <c r="A225" s="118"/>
      <c r="B225" s="118"/>
      <c r="C225" s="96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</row>
    <row r="226" ht="15.75" customHeight="1">
      <c r="A226" s="118"/>
      <c r="B226" s="118"/>
      <c r="C226" s="96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</row>
    <row r="227" ht="15.75" customHeight="1">
      <c r="A227" s="118"/>
      <c r="B227" s="118"/>
      <c r="C227" s="96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</row>
    <row r="228" ht="15.75" customHeight="1">
      <c r="A228" s="118"/>
      <c r="B228" s="118"/>
      <c r="C228" s="96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</row>
    <row r="229" ht="15.75" customHeight="1">
      <c r="A229" s="118"/>
      <c r="B229" s="118"/>
      <c r="C229" s="96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</row>
    <row r="230" ht="15.75" customHeight="1">
      <c r="A230" s="118"/>
      <c r="B230" s="118"/>
      <c r="C230" s="96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</row>
    <row r="231" ht="15.75" customHeight="1">
      <c r="A231" s="118"/>
      <c r="B231" s="118"/>
      <c r="C231" s="96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</row>
    <row r="232" ht="15.75" customHeight="1">
      <c r="A232" s="118"/>
      <c r="B232" s="118"/>
      <c r="C232" s="96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</row>
    <row r="233" ht="15.75" customHeight="1">
      <c r="A233" s="118"/>
      <c r="B233" s="118"/>
      <c r="C233" s="96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</row>
    <row r="234" ht="15.75" customHeight="1">
      <c r="A234" s="118"/>
      <c r="B234" s="118"/>
      <c r="C234" s="96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</row>
    <row r="235" ht="15.75" customHeight="1">
      <c r="A235" s="118"/>
      <c r="B235" s="118"/>
      <c r="C235" s="96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</row>
    <row r="236" ht="15.75" customHeight="1">
      <c r="A236" s="118"/>
      <c r="B236" s="118"/>
      <c r="C236" s="96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</row>
    <row r="237" ht="15.75" customHeight="1">
      <c r="A237" s="118"/>
      <c r="B237" s="118"/>
      <c r="C237" s="96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</row>
    <row r="238" ht="15.75" customHeight="1">
      <c r="A238" s="118"/>
      <c r="B238" s="118"/>
      <c r="C238" s="96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</row>
    <row r="239" ht="15.75" customHeight="1">
      <c r="A239" s="118"/>
      <c r="B239" s="118"/>
      <c r="C239" s="96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</row>
    <row r="240" ht="15.75" customHeight="1">
      <c r="A240" s="118"/>
      <c r="B240" s="118"/>
      <c r="C240" s="96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</row>
    <row r="241" ht="15.75" customHeight="1">
      <c r="A241" s="118"/>
      <c r="B241" s="118"/>
      <c r="C241" s="96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</row>
    <row r="242" ht="15.75" customHeight="1">
      <c r="A242" s="118"/>
      <c r="B242" s="118"/>
      <c r="C242" s="96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</row>
    <row r="243" ht="15.75" customHeight="1">
      <c r="A243" s="118"/>
      <c r="B243" s="118"/>
      <c r="C243" s="96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</row>
    <row r="244" ht="15.75" customHeight="1">
      <c r="A244" s="118"/>
      <c r="B244" s="118"/>
      <c r="C244" s="96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</row>
    <row r="245" ht="15.75" customHeight="1">
      <c r="A245" s="118"/>
      <c r="B245" s="118"/>
      <c r="C245" s="96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</row>
    <row r="246" ht="15.75" customHeight="1">
      <c r="A246" s="118"/>
      <c r="B246" s="118"/>
      <c r="C246" s="96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</row>
    <row r="247" ht="15.75" customHeight="1">
      <c r="A247" s="118"/>
      <c r="B247" s="118"/>
      <c r="C247" s="96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</row>
    <row r="248" ht="15.75" customHeight="1">
      <c r="A248" s="118"/>
      <c r="B248" s="118"/>
      <c r="C248" s="96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</row>
    <row r="249" ht="15.75" customHeight="1">
      <c r="A249" s="118"/>
      <c r="B249" s="118"/>
      <c r="C249" s="96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</row>
    <row r="250" ht="15.75" customHeight="1">
      <c r="A250" s="118"/>
      <c r="B250" s="118"/>
      <c r="C250" s="96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</row>
    <row r="251" ht="15.75" customHeight="1">
      <c r="A251" s="118"/>
      <c r="B251" s="118"/>
      <c r="C251" s="96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</row>
    <row r="252" ht="15.75" customHeight="1">
      <c r="A252" s="118"/>
      <c r="B252" s="118"/>
      <c r="C252" s="96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</row>
    <row r="253" ht="15.75" customHeight="1">
      <c r="A253" s="118"/>
      <c r="B253" s="118"/>
      <c r="C253" s="96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</row>
    <row r="254" ht="15.75" customHeight="1">
      <c r="A254" s="118"/>
      <c r="B254" s="118"/>
      <c r="C254" s="96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</row>
    <row r="255" ht="15.75" customHeight="1">
      <c r="A255" s="118"/>
      <c r="B255" s="118"/>
      <c r="C255" s="96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</row>
    <row r="256" ht="15.75" customHeight="1">
      <c r="A256" s="118"/>
      <c r="B256" s="118"/>
      <c r="C256" s="96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</row>
    <row r="257" ht="15.75" customHeight="1">
      <c r="A257" s="118"/>
      <c r="B257" s="118"/>
      <c r="C257" s="96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</row>
    <row r="258" ht="15.75" customHeight="1">
      <c r="A258" s="118"/>
      <c r="B258" s="118"/>
      <c r="C258" s="96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</row>
    <row r="259" ht="15.75" customHeight="1">
      <c r="A259" s="118"/>
      <c r="B259" s="118"/>
      <c r="C259" s="96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</row>
    <row r="260" ht="15.75" customHeight="1">
      <c r="A260" s="118"/>
      <c r="B260" s="118"/>
      <c r="C260" s="96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</row>
    <row r="261" ht="15.75" customHeight="1">
      <c r="A261" s="118"/>
      <c r="B261" s="118"/>
      <c r="C261" s="96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</row>
    <row r="262" ht="15.75" customHeight="1">
      <c r="A262" s="118"/>
      <c r="B262" s="118"/>
      <c r="C262" s="96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</row>
    <row r="263" ht="15.75" customHeight="1">
      <c r="A263" s="118"/>
      <c r="B263" s="118"/>
      <c r="C263" s="96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</row>
    <row r="264" ht="15.75" customHeight="1">
      <c r="A264" s="118"/>
      <c r="B264" s="118"/>
      <c r="C264" s="96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</row>
    <row r="265" ht="15.75" customHeight="1">
      <c r="A265" s="118"/>
      <c r="B265" s="118"/>
      <c r="C265" s="96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</row>
    <row r="266" ht="15.75" customHeight="1">
      <c r="A266" s="118"/>
      <c r="B266" s="118"/>
      <c r="C266" s="96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</row>
    <row r="267" ht="15.75" customHeight="1">
      <c r="A267" s="118"/>
      <c r="B267" s="118"/>
      <c r="C267" s="96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</row>
    <row r="268" ht="15.75" customHeight="1">
      <c r="A268" s="118"/>
      <c r="B268" s="118"/>
      <c r="C268" s="96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</row>
    <row r="269" ht="15.75" customHeight="1">
      <c r="A269" s="118"/>
      <c r="B269" s="118"/>
      <c r="C269" s="96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</row>
    <row r="270" ht="15.75" customHeight="1">
      <c r="A270" s="118"/>
      <c r="B270" s="118"/>
      <c r="C270" s="96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</row>
    <row r="271" ht="15.75" customHeight="1">
      <c r="A271" s="118"/>
      <c r="B271" s="118"/>
      <c r="C271" s="96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</row>
    <row r="272" ht="15.75" customHeight="1">
      <c r="A272" s="118"/>
      <c r="B272" s="118"/>
      <c r="C272" s="96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  <c r="AH272" s="118"/>
    </row>
    <row r="273" ht="15.75" customHeight="1">
      <c r="A273" s="118"/>
      <c r="B273" s="118"/>
      <c r="C273" s="96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</row>
    <row r="274" ht="15.75" customHeight="1">
      <c r="A274" s="118"/>
      <c r="B274" s="118"/>
      <c r="C274" s="96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</row>
    <row r="275" ht="15.75" customHeight="1">
      <c r="A275" s="118"/>
      <c r="B275" s="118"/>
      <c r="C275" s="96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</row>
    <row r="276" ht="15.75" customHeight="1">
      <c r="A276" s="118"/>
      <c r="B276" s="118"/>
      <c r="C276" s="96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</row>
    <row r="277" ht="15.75" customHeight="1">
      <c r="A277" s="118"/>
      <c r="B277" s="118"/>
      <c r="C277" s="96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</row>
    <row r="278" ht="15.75" customHeight="1">
      <c r="A278" s="118"/>
      <c r="B278" s="118"/>
      <c r="C278" s="96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</row>
    <row r="279" ht="15.75" customHeight="1">
      <c r="A279" s="118"/>
      <c r="B279" s="118"/>
      <c r="C279" s="96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</row>
    <row r="280" ht="15.75" customHeight="1">
      <c r="A280" s="118"/>
      <c r="B280" s="118"/>
      <c r="C280" s="96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</row>
    <row r="281" ht="15.75" customHeight="1">
      <c r="A281" s="118"/>
      <c r="B281" s="118"/>
      <c r="C281" s="96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</row>
    <row r="282" ht="15.75" customHeight="1">
      <c r="A282" s="118"/>
      <c r="B282" s="118"/>
      <c r="C282" s="96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  <c r="AH282" s="118"/>
    </row>
    <row r="283" ht="15.75" customHeight="1">
      <c r="A283" s="118"/>
      <c r="B283" s="118"/>
      <c r="C283" s="96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</row>
    <row r="284" ht="15.75" customHeight="1">
      <c r="A284" s="118"/>
      <c r="B284" s="118"/>
      <c r="C284" s="96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</row>
    <row r="285" ht="15.75" customHeight="1">
      <c r="A285" s="118"/>
      <c r="B285" s="118"/>
      <c r="C285" s="96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</row>
    <row r="286" ht="15.75" customHeight="1">
      <c r="A286" s="118"/>
      <c r="B286" s="118"/>
      <c r="C286" s="96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</row>
    <row r="287" ht="15.75" customHeight="1">
      <c r="A287" s="118"/>
      <c r="B287" s="118"/>
      <c r="C287" s="96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</row>
    <row r="288" ht="15.75" customHeight="1">
      <c r="A288" s="118"/>
      <c r="B288" s="118"/>
      <c r="C288" s="96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</row>
    <row r="289" ht="15.75" customHeight="1">
      <c r="A289" s="118"/>
      <c r="B289" s="118"/>
      <c r="C289" s="96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</row>
    <row r="290" ht="15.75" customHeight="1">
      <c r="A290" s="118"/>
      <c r="B290" s="118"/>
      <c r="C290" s="96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</row>
    <row r="291" ht="15.75" customHeight="1">
      <c r="A291" s="118"/>
      <c r="B291" s="118"/>
      <c r="C291" s="96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</row>
    <row r="292" ht="15.75" customHeight="1">
      <c r="A292" s="118"/>
      <c r="B292" s="118"/>
      <c r="C292" s="96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</row>
    <row r="293" ht="15.75" customHeight="1">
      <c r="A293" s="118"/>
      <c r="B293" s="118"/>
      <c r="C293" s="96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</row>
    <row r="294" ht="15.75" customHeight="1">
      <c r="A294" s="118"/>
      <c r="B294" s="118"/>
      <c r="C294" s="96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</row>
    <row r="295" ht="15.75" customHeight="1">
      <c r="A295" s="118"/>
      <c r="B295" s="118"/>
      <c r="C295" s="96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</row>
    <row r="296" ht="15.75" customHeight="1">
      <c r="A296" s="118"/>
      <c r="B296" s="118"/>
      <c r="C296" s="96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</row>
    <row r="297" ht="15.75" customHeight="1">
      <c r="A297" s="118"/>
      <c r="B297" s="118"/>
      <c r="C297" s="96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</row>
    <row r="298" ht="15.75" customHeight="1">
      <c r="A298" s="118"/>
      <c r="B298" s="118"/>
      <c r="C298" s="96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</row>
    <row r="299" ht="15.75" customHeight="1">
      <c r="A299" s="118"/>
      <c r="B299" s="118"/>
      <c r="C299" s="96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</row>
    <row r="300" ht="15.75" customHeight="1">
      <c r="A300" s="118"/>
      <c r="B300" s="118"/>
      <c r="C300" s="96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  <c r="AH300" s="118"/>
    </row>
    <row r="301" ht="15.75" customHeight="1">
      <c r="A301" s="118"/>
      <c r="B301" s="118"/>
      <c r="C301" s="96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</row>
    <row r="302" ht="15.75" customHeight="1">
      <c r="A302" s="118"/>
      <c r="B302" s="118"/>
      <c r="C302" s="96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</row>
    <row r="303" ht="15.75" customHeight="1">
      <c r="A303" s="118"/>
      <c r="B303" s="118"/>
      <c r="C303" s="96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</row>
    <row r="304" ht="15.75" customHeight="1">
      <c r="A304" s="118"/>
      <c r="B304" s="118"/>
      <c r="C304" s="96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</row>
    <row r="305" ht="15.75" customHeight="1">
      <c r="A305" s="118"/>
      <c r="B305" s="118"/>
      <c r="C305" s="96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</row>
    <row r="306" ht="15.75" customHeight="1">
      <c r="A306" s="118"/>
      <c r="B306" s="118"/>
      <c r="C306" s="96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</row>
    <row r="307" ht="15.75" customHeight="1">
      <c r="A307" s="118"/>
      <c r="B307" s="118"/>
      <c r="C307" s="96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</row>
    <row r="308" ht="15.75" customHeight="1">
      <c r="A308" s="118"/>
      <c r="B308" s="118"/>
      <c r="C308" s="96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</row>
    <row r="309" ht="15.75" customHeight="1">
      <c r="A309" s="118"/>
      <c r="B309" s="118"/>
      <c r="C309" s="96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</row>
    <row r="310" ht="15.75" customHeight="1">
      <c r="A310" s="118"/>
      <c r="B310" s="118"/>
      <c r="C310" s="96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</row>
    <row r="311" ht="15.75" customHeight="1">
      <c r="A311" s="118"/>
      <c r="B311" s="118"/>
      <c r="C311" s="96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</row>
    <row r="312" ht="15.75" customHeight="1">
      <c r="A312" s="118"/>
      <c r="B312" s="118"/>
      <c r="C312" s="96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</row>
    <row r="313" ht="15.75" customHeight="1">
      <c r="A313" s="118"/>
      <c r="B313" s="118"/>
      <c r="C313" s="96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</row>
    <row r="314" ht="15.75" customHeight="1">
      <c r="A314" s="118"/>
      <c r="B314" s="118"/>
      <c r="C314" s="96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</row>
    <row r="315" ht="15.75" customHeight="1">
      <c r="A315" s="118"/>
      <c r="B315" s="118"/>
      <c r="C315" s="96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</row>
    <row r="316" ht="15.75" customHeight="1">
      <c r="A316" s="118"/>
      <c r="B316" s="118"/>
      <c r="C316" s="96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</row>
    <row r="317" ht="15.75" customHeight="1">
      <c r="A317" s="118"/>
      <c r="B317" s="118"/>
      <c r="C317" s="96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</row>
    <row r="318" ht="15.75" customHeight="1">
      <c r="A318" s="118"/>
      <c r="B318" s="118"/>
      <c r="C318" s="96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</row>
    <row r="319" ht="15.75" customHeight="1">
      <c r="A319" s="118"/>
      <c r="B319" s="118"/>
      <c r="C319" s="96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</row>
    <row r="320" ht="15.75" customHeight="1">
      <c r="A320" s="118"/>
      <c r="B320" s="118"/>
      <c r="C320" s="96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  <c r="AH320" s="118"/>
    </row>
    <row r="321" ht="15.75" customHeight="1">
      <c r="A321" s="118"/>
      <c r="B321" s="118"/>
      <c r="C321" s="96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</row>
    <row r="322" ht="15.75" customHeight="1">
      <c r="A322" s="118"/>
      <c r="B322" s="118"/>
      <c r="C322" s="96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</row>
    <row r="323" ht="15.75" customHeight="1">
      <c r="A323" s="118"/>
      <c r="B323" s="118"/>
      <c r="C323" s="96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  <c r="AH323" s="118"/>
    </row>
    <row r="324" ht="15.75" customHeight="1">
      <c r="A324" s="118"/>
      <c r="B324" s="118"/>
      <c r="C324" s="96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  <c r="AH324" s="118"/>
    </row>
    <row r="325" ht="15.75" customHeight="1">
      <c r="A325" s="118"/>
      <c r="B325" s="118"/>
      <c r="C325" s="96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  <c r="AH325" s="118"/>
    </row>
    <row r="326" ht="15.75" customHeight="1">
      <c r="A326" s="118"/>
      <c r="B326" s="118"/>
      <c r="C326" s="96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8"/>
    </row>
    <row r="327" ht="15.75" customHeight="1">
      <c r="A327" s="118"/>
      <c r="B327" s="118"/>
      <c r="C327" s="96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  <c r="AH327" s="118"/>
    </row>
    <row r="328" ht="15.75" customHeight="1">
      <c r="A328" s="118"/>
      <c r="B328" s="118"/>
      <c r="C328" s="96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  <c r="AH328" s="118"/>
    </row>
    <row r="329" ht="15.75" customHeight="1">
      <c r="A329" s="118"/>
      <c r="B329" s="118"/>
      <c r="C329" s="96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8"/>
    </row>
    <row r="330" ht="15.75" customHeight="1">
      <c r="A330" s="118"/>
      <c r="B330" s="118"/>
      <c r="C330" s="96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  <c r="AH330" s="118"/>
    </row>
    <row r="331" ht="15.75" customHeight="1">
      <c r="A331" s="118"/>
      <c r="B331" s="118"/>
      <c r="C331" s="96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</row>
    <row r="332" ht="15.75" customHeight="1">
      <c r="A332" s="118"/>
      <c r="B332" s="118"/>
      <c r="C332" s="96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8"/>
    </row>
    <row r="333" ht="15.75" customHeight="1">
      <c r="A333" s="118"/>
      <c r="B333" s="118"/>
      <c r="C333" s="96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8"/>
    </row>
    <row r="334" ht="15.75" customHeight="1">
      <c r="A334" s="118"/>
      <c r="B334" s="118"/>
      <c r="C334" s="96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  <c r="AH334" s="118"/>
    </row>
    <row r="335" ht="15.75" customHeight="1">
      <c r="A335" s="118"/>
      <c r="B335" s="118"/>
      <c r="C335" s="96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  <c r="AH335" s="118"/>
    </row>
    <row r="336" ht="15.75" customHeight="1">
      <c r="A336" s="118"/>
      <c r="B336" s="118"/>
      <c r="C336" s="96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  <c r="AH336" s="118"/>
    </row>
    <row r="337" ht="15.75" customHeight="1">
      <c r="A337" s="118"/>
      <c r="B337" s="118"/>
      <c r="C337" s="96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  <c r="AH337" s="118"/>
    </row>
    <row r="338" ht="15.75" customHeight="1">
      <c r="A338" s="118"/>
      <c r="B338" s="118"/>
      <c r="C338" s="96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  <c r="AH338" s="118"/>
    </row>
    <row r="339" ht="15.75" customHeight="1">
      <c r="A339" s="118"/>
      <c r="B339" s="118"/>
      <c r="C339" s="96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  <c r="AH339" s="118"/>
    </row>
    <row r="340" ht="15.75" customHeight="1">
      <c r="A340" s="118"/>
      <c r="B340" s="118"/>
      <c r="C340" s="96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  <c r="AH340" s="118"/>
    </row>
    <row r="341" ht="15.75" customHeight="1">
      <c r="A341" s="118"/>
      <c r="B341" s="118"/>
      <c r="C341" s="96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  <c r="AH341" s="118"/>
    </row>
    <row r="342" ht="15.75" customHeight="1">
      <c r="A342" s="118"/>
      <c r="B342" s="118"/>
      <c r="C342" s="96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  <c r="AH342" s="118"/>
    </row>
    <row r="343" ht="15.75" customHeight="1">
      <c r="A343" s="118"/>
      <c r="B343" s="118"/>
      <c r="C343" s="96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  <c r="AH343" s="118"/>
    </row>
    <row r="344" ht="15.75" customHeight="1">
      <c r="A344" s="118"/>
      <c r="B344" s="118"/>
      <c r="C344" s="96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  <c r="AH344" s="118"/>
    </row>
    <row r="345" ht="15.75" customHeight="1">
      <c r="A345" s="118"/>
      <c r="B345" s="118"/>
      <c r="C345" s="96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  <c r="AH345" s="118"/>
    </row>
    <row r="346" ht="15.75" customHeight="1">
      <c r="A346" s="118"/>
      <c r="B346" s="118"/>
      <c r="C346" s="96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  <c r="AH346" s="118"/>
    </row>
    <row r="347" ht="15.75" customHeight="1">
      <c r="A347" s="118"/>
      <c r="B347" s="118"/>
      <c r="C347" s="96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  <c r="AH347" s="118"/>
    </row>
    <row r="348" ht="15.75" customHeight="1">
      <c r="A348" s="118"/>
      <c r="B348" s="118"/>
      <c r="C348" s="96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  <c r="AH348" s="118"/>
    </row>
    <row r="349" ht="15.75" customHeight="1">
      <c r="A349" s="118"/>
      <c r="B349" s="118"/>
      <c r="C349" s="96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  <c r="AH349" s="118"/>
    </row>
    <row r="350" ht="15.75" customHeight="1">
      <c r="A350" s="118"/>
      <c r="B350" s="118"/>
      <c r="C350" s="96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  <c r="AH350" s="118"/>
    </row>
    <row r="351" ht="15.75" customHeight="1">
      <c r="A351" s="118"/>
      <c r="B351" s="118"/>
      <c r="C351" s="96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  <c r="AH351" s="118"/>
    </row>
    <row r="352" ht="15.75" customHeight="1">
      <c r="A352" s="118"/>
      <c r="B352" s="118"/>
      <c r="C352" s="96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  <c r="AH352" s="118"/>
    </row>
    <row r="353" ht="15.75" customHeight="1">
      <c r="A353" s="118"/>
      <c r="B353" s="118"/>
      <c r="C353" s="96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  <c r="AH353" s="118"/>
    </row>
    <row r="354" ht="15.75" customHeight="1">
      <c r="A354" s="118"/>
      <c r="B354" s="118"/>
      <c r="C354" s="96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  <c r="AH354" s="118"/>
    </row>
    <row r="355" ht="15.75" customHeight="1">
      <c r="A355" s="118"/>
      <c r="B355" s="118"/>
      <c r="C355" s="96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  <c r="AH355" s="118"/>
    </row>
    <row r="356" ht="15.75" customHeight="1">
      <c r="A356" s="118"/>
      <c r="B356" s="118"/>
      <c r="C356" s="96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  <c r="AH356" s="118"/>
    </row>
    <row r="357" ht="15.75" customHeight="1">
      <c r="A357" s="118"/>
      <c r="B357" s="118"/>
      <c r="C357" s="96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  <c r="AH357" s="118"/>
    </row>
    <row r="358" ht="15.75" customHeight="1">
      <c r="A358" s="118"/>
      <c r="B358" s="118"/>
      <c r="C358" s="96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  <c r="AH358" s="118"/>
    </row>
    <row r="359" ht="15.75" customHeight="1">
      <c r="A359" s="118"/>
      <c r="B359" s="118"/>
      <c r="C359" s="96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  <c r="AH359" s="118"/>
    </row>
    <row r="360" ht="15.75" customHeight="1">
      <c r="A360" s="118"/>
      <c r="B360" s="118"/>
      <c r="C360" s="96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</row>
    <row r="361" ht="15.75" customHeight="1">
      <c r="A361" s="118"/>
      <c r="B361" s="118"/>
      <c r="C361" s="96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  <c r="AH361" s="118"/>
    </row>
    <row r="362" ht="15.75" customHeight="1">
      <c r="A362" s="118"/>
      <c r="B362" s="118"/>
      <c r="C362" s="96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</row>
    <row r="363" ht="15.75" customHeight="1">
      <c r="A363" s="118"/>
      <c r="B363" s="118"/>
      <c r="C363" s="96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</row>
    <row r="364" ht="15.75" customHeight="1">
      <c r="A364" s="118"/>
      <c r="B364" s="118"/>
      <c r="C364" s="96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  <c r="AH364" s="118"/>
    </row>
    <row r="365" ht="15.75" customHeight="1">
      <c r="A365" s="118"/>
      <c r="B365" s="118"/>
      <c r="C365" s="96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  <c r="AH365" s="118"/>
    </row>
    <row r="366" ht="15.75" customHeight="1">
      <c r="A366" s="118"/>
      <c r="B366" s="118"/>
      <c r="C366" s="96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  <c r="AH366" s="118"/>
    </row>
    <row r="367" ht="15.75" customHeight="1">
      <c r="A367" s="118"/>
      <c r="B367" s="118"/>
      <c r="C367" s="96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  <c r="AH367" s="118"/>
    </row>
    <row r="368" ht="15.75" customHeight="1">
      <c r="A368" s="118"/>
      <c r="B368" s="118"/>
      <c r="C368" s="96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  <c r="AH368" s="118"/>
    </row>
    <row r="369" ht="15.75" customHeight="1">
      <c r="A369" s="118"/>
      <c r="B369" s="118"/>
      <c r="C369" s="96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  <c r="AH369" s="118"/>
    </row>
    <row r="370" ht="15.75" customHeight="1">
      <c r="A370" s="118"/>
      <c r="B370" s="118"/>
      <c r="C370" s="96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  <c r="AH370" s="118"/>
    </row>
    <row r="371" ht="15.75" customHeight="1">
      <c r="A371" s="118"/>
      <c r="B371" s="118"/>
      <c r="C371" s="96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  <c r="AH371" s="118"/>
    </row>
    <row r="372" ht="15.75" customHeight="1">
      <c r="A372" s="118"/>
      <c r="B372" s="118"/>
      <c r="C372" s="96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  <c r="AH372" s="118"/>
    </row>
    <row r="373" ht="15.75" customHeight="1">
      <c r="A373" s="118"/>
      <c r="B373" s="118"/>
      <c r="C373" s="96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  <c r="AH373" s="118"/>
    </row>
    <row r="374" ht="15.75" customHeight="1">
      <c r="A374" s="118"/>
      <c r="B374" s="118"/>
      <c r="C374" s="96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  <c r="AH374" s="118"/>
    </row>
    <row r="375" ht="15.75" customHeight="1">
      <c r="A375" s="118"/>
      <c r="B375" s="118"/>
      <c r="C375" s="96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  <c r="AH375" s="118"/>
    </row>
    <row r="376" ht="15.75" customHeight="1">
      <c r="A376" s="118"/>
      <c r="B376" s="118"/>
      <c r="C376" s="96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  <c r="AH376" s="118"/>
    </row>
    <row r="377" ht="15.75" customHeight="1">
      <c r="A377" s="118"/>
      <c r="B377" s="118"/>
      <c r="C377" s="96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  <c r="AH377" s="118"/>
    </row>
    <row r="378" ht="15.75" customHeight="1">
      <c r="A378" s="118"/>
      <c r="B378" s="118"/>
      <c r="C378" s="96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</row>
    <row r="379" ht="15.75" customHeight="1">
      <c r="A379" s="118"/>
      <c r="B379" s="118"/>
      <c r="C379" s="96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  <c r="AH379" s="118"/>
    </row>
    <row r="380" ht="15.75" customHeight="1">
      <c r="A380" s="118"/>
      <c r="B380" s="118"/>
      <c r="C380" s="96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  <c r="AH380" s="118"/>
    </row>
    <row r="381" ht="15.75" customHeight="1">
      <c r="A381" s="118"/>
      <c r="B381" s="118"/>
      <c r="C381" s="96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8"/>
    </row>
    <row r="382" ht="15.75" customHeight="1">
      <c r="A382" s="118"/>
      <c r="B382" s="118"/>
      <c r="C382" s="96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8"/>
    </row>
    <row r="383" ht="15.75" customHeight="1">
      <c r="A383" s="118"/>
      <c r="B383" s="118"/>
      <c r="C383" s="96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</row>
    <row r="384" ht="15.75" customHeight="1">
      <c r="A384" s="118"/>
      <c r="B384" s="118"/>
      <c r="C384" s="96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  <c r="AH384" s="118"/>
    </row>
    <row r="385" ht="15.75" customHeight="1">
      <c r="A385" s="118"/>
      <c r="B385" s="118"/>
      <c r="C385" s="96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  <c r="AH385" s="118"/>
    </row>
    <row r="386" ht="15.75" customHeight="1">
      <c r="A386" s="118"/>
      <c r="B386" s="118"/>
      <c r="C386" s="96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  <c r="AH386" s="118"/>
    </row>
    <row r="387" ht="15.75" customHeight="1">
      <c r="A387" s="118"/>
      <c r="B387" s="118"/>
      <c r="C387" s="96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  <c r="AH387" s="118"/>
    </row>
    <row r="388" ht="15.75" customHeight="1">
      <c r="A388" s="118"/>
      <c r="B388" s="118"/>
      <c r="C388" s="96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  <c r="AH388" s="118"/>
    </row>
    <row r="389" ht="15.75" customHeight="1">
      <c r="A389" s="118"/>
      <c r="B389" s="118"/>
      <c r="C389" s="96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  <c r="AH389" s="118"/>
    </row>
    <row r="390" ht="15.75" customHeight="1">
      <c r="A390" s="118"/>
      <c r="B390" s="118"/>
      <c r="C390" s="96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  <c r="AH390" s="118"/>
    </row>
    <row r="391" ht="15.75" customHeight="1">
      <c r="A391" s="118"/>
      <c r="B391" s="118"/>
      <c r="C391" s="96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  <c r="AH391" s="118"/>
    </row>
    <row r="392" ht="15.75" customHeight="1">
      <c r="A392" s="118"/>
      <c r="B392" s="118"/>
      <c r="C392" s="96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  <c r="AH392" s="118"/>
    </row>
    <row r="393" ht="15.75" customHeight="1">
      <c r="A393" s="118"/>
      <c r="B393" s="118"/>
      <c r="C393" s="96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  <c r="AH393" s="118"/>
    </row>
    <row r="394" ht="15.75" customHeight="1">
      <c r="A394" s="118"/>
      <c r="B394" s="118"/>
      <c r="C394" s="96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  <c r="AH394" s="118"/>
    </row>
    <row r="395" ht="15.75" customHeight="1">
      <c r="A395" s="118"/>
      <c r="B395" s="118"/>
      <c r="C395" s="96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  <c r="AH395" s="118"/>
    </row>
    <row r="396" ht="15.75" customHeight="1">
      <c r="A396" s="118"/>
      <c r="B396" s="118"/>
      <c r="C396" s="96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  <c r="AH396" s="118"/>
    </row>
    <row r="397" ht="15.75" customHeight="1">
      <c r="A397" s="118"/>
      <c r="B397" s="118"/>
      <c r="C397" s="96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</row>
    <row r="398" ht="15.75" customHeight="1">
      <c r="A398" s="118"/>
      <c r="B398" s="118"/>
      <c r="C398" s="96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</row>
    <row r="399" ht="15.75" customHeight="1">
      <c r="A399" s="118"/>
      <c r="B399" s="118"/>
      <c r="C399" s="96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  <c r="AH399" s="118"/>
    </row>
    <row r="400" ht="15.75" customHeight="1">
      <c r="A400" s="118"/>
      <c r="B400" s="118"/>
      <c r="C400" s="96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  <c r="AH400" s="118"/>
    </row>
    <row r="401" ht="15.75" customHeight="1">
      <c r="A401" s="118"/>
      <c r="B401" s="118"/>
      <c r="C401" s="96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  <c r="AH401" s="118"/>
    </row>
    <row r="402" ht="15.75" customHeight="1">
      <c r="A402" s="118"/>
      <c r="B402" s="118"/>
      <c r="C402" s="96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</row>
    <row r="403" ht="15.75" customHeight="1">
      <c r="A403" s="118"/>
      <c r="B403" s="118"/>
      <c r="C403" s="96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  <c r="AH403" s="118"/>
    </row>
    <row r="404" ht="15.75" customHeight="1">
      <c r="A404" s="118"/>
      <c r="B404" s="118"/>
      <c r="C404" s="96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  <c r="AH404" s="118"/>
    </row>
    <row r="405" ht="15.75" customHeight="1">
      <c r="A405" s="118"/>
      <c r="B405" s="118"/>
      <c r="C405" s="96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  <c r="AH405" s="118"/>
    </row>
    <row r="406" ht="15.75" customHeight="1">
      <c r="A406" s="118"/>
      <c r="B406" s="118"/>
      <c r="C406" s="96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  <c r="AH406" s="118"/>
    </row>
    <row r="407" ht="15.75" customHeight="1">
      <c r="A407" s="118"/>
      <c r="B407" s="118"/>
      <c r="C407" s="96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  <c r="AH407" s="118"/>
    </row>
    <row r="408" ht="15.75" customHeight="1">
      <c r="A408" s="118"/>
      <c r="B408" s="118"/>
      <c r="C408" s="96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  <c r="AH408" s="118"/>
    </row>
    <row r="409" ht="15.75" customHeight="1">
      <c r="A409" s="118"/>
      <c r="B409" s="118"/>
      <c r="C409" s="96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  <c r="AH409" s="118"/>
    </row>
    <row r="410" ht="15.75" customHeight="1">
      <c r="A410" s="118"/>
      <c r="B410" s="118"/>
      <c r="C410" s="96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  <c r="AH410" s="118"/>
    </row>
    <row r="411" ht="15.75" customHeight="1">
      <c r="A411" s="118"/>
      <c r="B411" s="118"/>
      <c r="C411" s="96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  <c r="AH411" s="118"/>
    </row>
    <row r="412" ht="15.75" customHeight="1">
      <c r="A412" s="118"/>
      <c r="B412" s="118"/>
      <c r="C412" s="96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</row>
    <row r="413" ht="15.75" customHeight="1">
      <c r="A413" s="118"/>
      <c r="B413" s="118"/>
      <c r="C413" s="96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  <c r="AH413" s="118"/>
    </row>
    <row r="414" ht="15.75" customHeight="1">
      <c r="A414" s="118"/>
      <c r="B414" s="118"/>
      <c r="C414" s="96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  <c r="AH414" s="118"/>
    </row>
    <row r="415" ht="15.75" customHeight="1">
      <c r="A415" s="118"/>
      <c r="B415" s="118"/>
      <c r="C415" s="96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  <c r="AH415" s="118"/>
    </row>
    <row r="416" ht="15.75" customHeight="1">
      <c r="A416" s="118"/>
      <c r="B416" s="118"/>
      <c r="C416" s="96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  <c r="AH416" s="118"/>
    </row>
    <row r="417" ht="15.75" customHeight="1">
      <c r="A417" s="118"/>
      <c r="B417" s="118"/>
      <c r="C417" s="96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  <c r="AH417" s="118"/>
    </row>
    <row r="418" ht="15.75" customHeight="1">
      <c r="A418" s="118"/>
      <c r="B418" s="118"/>
      <c r="C418" s="96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  <c r="AH418" s="118"/>
    </row>
    <row r="419" ht="15.75" customHeight="1">
      <c r="A419" s="118"/>
      <c r="B419" s="118"/>
      <c r="C419" s="96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  <c r="AH419" s="118"/>
    </row>
    <row r="420" ht="15.75" customHeight="1">
      <c r="A420" s="118"/>
      <c r="B420" s="118"/>
      <c r="C420" s="96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  <c r="AH420" s="118"/>
    </row>
    <row r="421" ht="15.75" customHeight="1">
      <c r="A421" s="118"/>
      <c r="B421" s="118"/>
      <c r="C421" s="96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  <c r="AH421" s="118"/>
    </row>
    <row r="422" ht="15.75" customHeight="1">
      <c r="A422" s="118"/>
      <c r="B422" s="118"/>
      <c r="C422" s="96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  <c r="AH422" s="118"/>
    </row>
    <row r="423" ht="15.75" customHeight="1">
      <c r="A423" s="118"/>
      <c r="B423" s="118"/>
      <c r="C423" s="96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  <c r="AH423" s="118"/>
    </row>
    <row r="424" ht="15.75" customHeight="1">
      <c r="A424" s="118"/>
      <c r="B424" s="118"/>
      <c r="C424" s="96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  <c r="AH424" s="118"/>
    </row>
    <row r="425" ht="15.75" customHeight="1">
      <c r="A425" s="118"/>
      <c r="B425" s="118"/>
      <c r="C425" s="96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</row>
    <row r="426" ht="15.75" customHeight="1">
      <c r="A426" s="118"/>
      <c r="B426" s="118"/>
      <c r="C426" s="96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</row>
    <row r="427" ht="15.75" customHeight="1">
      <c r="A427" s="118"/>
      <c r="B427" s="118"/>
      <c r="C427" s="96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</row>
    <row r="428" ht="15.75" customHeight="1">
      <c r="A428" s="118"/>
      <c r="B428" s="118"/>
      <c r="C428" s="96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  <c r="AH428" s="118"/>
    </row>
    <row r="429" ht="15.75" customHeight="1">
      <c r="A429" s="118"/>
      <c r="B429" s="118"/>
      <c r="C429" s="96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  <c r="AH429" s="118"/>
    </row>
    <row r="430" ht="15.75" customHeight="1">
      <c r="A430" s="118"/>
      <c r="B430" s="118"/>
      <c r="C430" s="96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</row>
    <row r="431" ht="15.75" customHeight="1">
      <c r="A431" s="118"/>
      <c r="B431" s="118"/>
      <c r="C431" s="96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</row>
    <row r="432" ht="15.75" customHeight="1">
      <c r="A432" s="118"/>
      <c r="B432" s="118"/>
      <c r="C432" s="96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</row>
    <row r="433" ht="15.75" customHeight="1">
      <c r="A433" s="118"/>
      <c r="B433" s="118"/>
      <c r="C433" s="96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</row>
    <row r="434" ht="15.75" customHeight="1">
      <c r="A434" s="118"/>
      <c r="B434" s="118"/>
      <c r="C434" s="96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8"/>
    </row>
    <row r="435" ht="15.75" customHeight="1">
      <c r="A435" s="118"/>
      <c r="B435" s="118"/>
      <c r="C435" s="96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8"/>
    </row>
    <row r="436" ht="15.75" customHeight="1">
      <c r="A436" s="118"/>
      <c r="B436" s="118"/>
      <c r="C436" s="96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8"/>
    </row>
    <row r="437" ht="15.75" customHeight="1">
      <c r="A437" s="118"/>
      <c r="B437" s="118"/>
      <c r="C437" s="96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8"/>
    </row>
    <row r="438" ht="15.75" customHeight="1">
      <c r="A438" s="118"/>
      <c r="B438" s="118"/>
      <c r="C438" s="96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</row>
    <row r="439" ht="15.75" customHeight="1">
      <c r="A439" s="118"/>
      <c r="B439" s="118"/>
      <c r="C439" s="96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</row>
    <row r="440" ht="15.75" customHeight="1">
      <c r="A440" s="118"/>
      <c r="B440" s="118"/>
      <c r="C440" s="96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</row>
    <row r="441" ht="15.75" customHeight="1">
      <c r="A441" s="118"/>
      <c r="B441" s="118"/>
      <c r="C441" s="96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</row>
    <row r="442" ht="15.75" customHeight="1">
      <c r="A442" s="118"/>
      <c r="B442" s="118"/>
      <c r="C442" s="96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</row>
    <row r="443" ht="15.75" customHeight="1">
      <c r="A443" s="118"/>
      <c r="B443" s="118"/>
      <c r="C443" s="96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</row>
    <row r="444" ht="15.75" customHeight="1">
      <c r="A444" s="118"/>
      <c r="B444" s="118"/>
      <c r="C444" s="96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</row>
    <row r="445" ht="15.75" customHeight="1">
      <c r="A445" s="118"/>
      <c r="B445" s="118"/>
      <c r="C445" s="96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</row>
    <row r="446" ht="15.75" customHeight="1">
      <c r="A446" s="118"/>
      <c r="B446" s="118"/>
      <c r="C446" s="96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</row>
    <row r="447" ht="15.75" customHeight="1">
      <c r="A447" s="118"/>
      <c r="B447" s="118"/>
      <c r="C447" s="96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</row>
    <row r="448" ht="15.75" customHeight="1">
      <c r="A448" s="118"/>
      <c r="B448" s="118"/>
      <c r="C448" s="96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</row>
    <row r="449" ht="15.75" customHeight="1">
      <c r="A449" s="118"/>
      <c r="B449" s="118"/>
      <c r="C449" s="96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</row>
    <row r="450" ht="15.75" customHeight="1">
      <c r="A450" s="118"/>
      <c r="B450" s="118"/>
      <c r="C450" s="96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</row>
    <row r="451" ht="15.75" customHeight="1">
      <c r="A451" s="118"/>
      <c r="B451" s="118"/>
      <c r="C451" s="96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</row>
    <row r="452" ht="15.75" customHeight="1">
      <c r="A452" s="118"/>
      <c r="B452" s="118"/>
      <c r="C452" s="96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</row>
    <row r="453" ht="15.75" customHeight="1">
      <c r="A453" s="118"/>
      <c r="B453" s="118"/>
      <c r="C453" s="96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  <c r="AH453" s="118"/>
    </row>
    <row r="454" ht="15.75" customHeight="1">
      <c r="A454" s="118"/>
      <c r="B454" s="118"/>
      <c r="C454" s="96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  <c r="AH454" s="118"/>
    </row>
    <row r="455" ht="15.75" customHeight="1">
      <c r="A455" s="118"/>
      <c r="B455" s="118"/>
      <c r="C455" s="96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  <c r="AH455" s="118"/>
    </row>
    <row r="456" ht="15.75" customHeight="1">
      <c r="A456" s="118"/>
      <c r="B456" s="118"/>
      <c r="C456" s="96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  <c r="AH456" s="118"/>
    </row>
    <row r="457" ht="15.75" customHeight="1">
      <c r="A457" s="118"/>
      <c r="B457" s="118"/>
      <c r="C457" s="96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  <c r="AH457" s="118"/>
    </row>
    <row r="458" ht="15.75" customHeight="1">
      <c r="A458" s="118"/>
      <c r="B458" s="118"/>
      <c r="C458" s="96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  <c r="AH458" s="118"/>
    </row>
    <row r="459" ht="15.75" customHeight="1">
      <c r="A459" s="118"/>
      <c r="B459" s="118"/>
      <c r="C459" s="96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  <c r="AH459" s="118"/>
    </row>
    <row r="460" ht="15.75" customHeight="1">
      <c r="A460" s="118"/>
      <c r="B460" s="118"/>
      <c r="C460" s="96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  <c r="AH460" s="118"/>
    </row>
    <row r="461" ht="15.75" customHeight="1">
      <c r="A461" s="118"/>
      <c r="B461" s="118"/>
      <c r="C461" s="96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  <c r="AH461" s="118"/>
    </row>
    <row r="462" ht="15.75" customHeight="1">
      <c r="A462" s="118"/>
      <c r="B462" s="118"/>
      <c r="C462" s="96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  <c r="AH462" s="118"/>
    </row>
    <row r="463" ht="15.75" customHeight="1">
      <c r="A463" s="118"/>
      <c r="B463" s="118"/>
      <c r="C463" s="96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  <c r="AH463" s="118"/>
    </row>
    <row r="464" ht="15.75" customHeight="1">
      <c r="A464" s="118"/>
      <c r="B464" s="118"/>
      <c r="C464" s="96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  <c r="AH464" s="118"/>
    </row>
    <row r="465" ht="15.75" customHeight="1">
      <c r="A465" s="118"/>
      <c r="B465" s="118"/>
      <c r="C465" s="96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  <c r="AH465" s="118"/>
    </row>
    <row r="466" ht="15.75" customHeight="1">
      <c r="A466" s="118"/>
      <c r="B466" s="118"/>
      <c r="C466" s="96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  <c r="AH466" s="118"/>
    </row>
    <row r="467" ht="15.75" customHeight="1">
      <c r="A467" s="118"/>
      <c r="B467" s="118"/>
      <c r="C467" s="96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  <c r="AH467" s="118"/>
    </row>
    <row r="468" ht="15.75" customHeight="1">
      <c r="A468" s="118"/>
      <c r="B468" s="118"/>
      <c r="C468" s="96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  <c r="AH468" s="118"/>
    </row>
    <row r="469" ht="15.75" customHeight="1">
      <c r="A469" s="118"/>
      <c r="B469" s="118"/>
      <c r="C469" s="96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  <c r="AH469" s="118"/>
    </row>
    <row r="470" ht="15.75" customHeight="1">
      <c r="A470" s="118"/>
      <c r="B470" s="118"/>
      <c r="C470" s="96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  <c r="AH470" s="118"/>
    </row>
    <row r="471" ht="15.75" customHeight="1">
      <c r="A471" s="118"/>
      <c r="B471" s="118"/>
      <c r="C471" s="96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  <c r="AH471" s="118"/>
    </row>
    <row r="472" ht="15.75" customHeight="1">
      <c r="A472" s="118"/>
      <c r="B472" s="118"/>
      <c r="C472" s="96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  <c r="AH472" s="118"/>
    </row>
    <row r="473" ht="15.75" customHeight="1">
      <c r="A473" s="118"/>
      <c r="B473" s="118"/>
      <c r="C473" s="96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  <c r="AH473" s="118"/>
    </row>
    <row r="474" ht="15.75" customHeight="1">
      <c r="A474" s="118"/>
      <c r="B474" s="118"/>
      <c r="C474" s="96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  <c r="AH474" s="118"/>
    </row>
    <row r="475" ht="15.75" customHeight="1">
      <c r="A475" s="118"/>
      <c r="B475" s="118"/>
      <c r="C475" s="96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  <c r="AH475" s="118"/>
    </row>
    <row r="476" ht="15.75" customHeight="1">
      <c r="A476" s="118"/>
      <c r="B476" s="118"/>
      <c r="C476" s="96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  <c r="AH476" s="118"/>
    </row>
    <row r="477" ht="15.75" customHeight="1">
      <c r="A477" s="118"/>
      <c r="B477" s="118"/>
      <c r="C477" s="96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  <c r="AH477" s="118"/>
    </row>
    <row r="478" ht="15.75" customHeight="1">
      <c r="A478" s="118"/>
      <c r="B478" s="118"/>
      <c r="C478" s="96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</row>
    <row r="479" ht="15.75" customHeight="1">
      <c r="A479" s="118"/>
      <c r="B479" s="118"/>
      <c r="C479" s="96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</row>
    <row r="480" ht="15.75" customHeight="1">
      <c r="A480" s="118"/>
      <c r="B480" s="118"/>
      <c r="C480" s="96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</row>
    <row r="481" ht="15.75" customHeight="1">
      <c r="A481" s="118"/>
      <c r="B481" s="118"/>
      <c r="C481" s="96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  <c r="AH481" s="118"/>
    </row>
    <row r="482" ht="15.75" customHeight="1">
      <c r="A482" s="118"/>
      <c r="B482" s="118"/>
      <c r="C482" s="96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  <c r="AH482" s="118"/>
    </row>
    <row r="483" ht="15.75" customHeight="1">
      <c r="A483" s="118"/>
      <c r="B483" s="118"/>
      <c r="C483" s="96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  <c r="AH483" s="118"/>
    </row>
    <row r="484" ht="15.75" customHeight="1">
      <c r="A484" s="118"/>
      <c r="B484" s="118"/>
      <c r="C484" s="96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  <c r="AH484" s="118"/>
    </row>
    <row r="485" ht="15.75" customHeight="1">
      <c r="A485" s="118"/>
      <c r="B485" s="118"/>
      <c r="C485" s="96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  <c r="AH485" s="118"/>
    </row>
    <row r="486" ht="15.75" customHeight="1">
      <c r="A486" s="118"/>
      <c r="B486" s="118"/>
      <c r="C486" s="96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</row>
    <row r="487" ht="15.75" customHeight="1">
      <c r="A487" s="118"/>
      <c r="B487" s="118"/>
      <c r="C487" s="96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</row>
    <row r="488" ht="15.75" customHeight="1">
      <c r="A488" s="118"/>
      <c r="B488" s="118"/>
      <c r="C488" s="96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</row>
    <row r="489" ht="15.75" customHeight="1">
      <c r="A489" s="118"/>
      <c r="B489" s="118"/>
      <c r="C489" s="96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8"/>
    </row>
    <row r="490" ht="15.75" customHeight="1">
      <c r="A490" s="118"/>
      <c r="B490" s="118"/>
      <c r="C490" s="96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</row>
    <row r="491" ht="15.75" customHeight="1">
      <c r="A491" s="118"/>
      <c r="B491" s="118"/>
      <c r="C491" s="96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  <c r="AH491" s="118"/>
    </row>
    <row r="492" ht="15.75" customHeight="1">
      <c r="A492" s="118"/>
      <c r="B492" s="118"/>
      <c r="C492" s="96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  <c r="AH492" s="118"/>
    </row>
    <row r="493" ht="15.75" customHeight="1">
      <c r="A493" s="118"/>
      <c r="B493" s="118"/>
      <c r="C493" s="96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</row>
    <row r="494" ht="15.75" customHeight="1">
      <c r="A494" s="118"/>
      <c r="B494" s="118"/>
      <c r="C494" s="96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</row>
    <row r="495" ht="15.75" customHeight="1">
      <c r="A495" s="118"/>
      <c r="B495" s="118"/>
      <c r="C495" s="96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  <c r="AH495" s="118"/>
    </row>
    <row r="496" ht="15.75" customHeight="1">
      <c r="A496" s="118"/>
      <c r="B496" s="118"/>
      <c r="C496" s="96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  <c r="AH496" s="118"/>
    </row>
    <row r="497" ht="15.75" customHeight="1">
      <c r="A497" s="118"/>
      <c r="B497" s="118"/>
      <c r="C497" s="96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  <c r="AH497" s="118"/>
    </row>
    <row r="498" ht="15.75" customHeight="1">
      <c r="A498" s="118"/>
      <c r="B498" s="118"/>
      <c r="C498" s="96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  <c r="AH498" s="118"/>
    </row>
    <row r="499" ht="15.75" customHeight="1">
      <c r="A499" s="118"/>
      <c r="B499" s="118"/>
      <c r="C499" s="96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  <c r="AH499" s="118"/>
    </row>
    <row r="500" ht="15.75" customHeight="1">
      <c r="A500" s="118"/>
      <c r="B500" s="118"/>
      <c r="C500" s="96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  <c r="AH500" s="118"/>
    </row>
    <row r="501" ht="15.75" customHeight="1">
      <c r="A501" s="118"/>
      <c r="B501" s="118"/>
      <c r="C501" s="96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  <c r="AH501" s="118"/>
    </row>
    <row r="502" ht="15.75" customHeight="1">
      <c r="A502" s="118"/>
      <c r="B502" s="118"/>
      <c r="C502" s="96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</row>
    <row r="503" ht="15.75" customHeight="1">
      <c r="A503" s="118"/>
      <c r="B503" s="118"/>
      <c r="C503" s="96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  <c r="AH503" s="118"/>
    </row>
    <row r="504" ht="15.75" customHeight="1">
      <c r="A504" s="118"/>
      <c r="B504" s="118"/>
      <c r="C504" s="96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  <c r="AH504" s="118"/>
    </row>
    <row r="505" ht="15.75" customHeight="1">
      <c r="A505" s="118"/>
      <c r="B505" s="118"/>
      <c r="C505" s="96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  <c r="AH505" s="118"/>
    </row>
    <row r="506" ht="15.75" customHeight="1">
      <c r="A506" s="118"/>
      <c r="B506" s="118"/>
      <c r="C506" s="96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  <c r="AH506" s="118"/>
    </row>
    <row r="507" ht="15.75" customHeight="1">
      <c r="A507" s="118"/>
      <c r="B507" s="118"/>
      <c r="C507" s="96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  <c r="AH507" s="118"/>
    </row>
    <row r="508" ht="15.75" customHeight="1">
      <c r="A508" s="118"/>
      <c r="B508" s="118"/>
      <c r="C508" s="96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  <c r="AH508" s="118"/>
    </row>
    <row r="509" ht="15.75" customHeight="1">
      <c r="A509" s="118"/>
      <c r="B509" s="118"/>
      <c r="C509" s="96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  <c r="AH509" s="118"/>
    </row>
    <row r="510" ht="15.75" customHeight="1">
      <c r="A510" s="118"/>
      <c r="B510" s="118"/>
      <c r="C510" s="96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  <c r="AH510" s="118"/>
    </row>
    <row r="511" ht="15.75" customHeight="1">
      <c r="A511" s="118"/>
      <c r="B511" s="118"/>
      <c r="C511" s="96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</row>
    <row r="512" ht="15.75" customHeight="1">
      <c r="A512" s="118"/>
      <c r="B512" s="118"/>
      <c r="C512" s="96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  <c r="AH512" s="118"/>
    </row>
    <row r="513" ht="15.75" customHeight="1">
      <c r="A513" s="118"/>
      <c r="B513" s="118"/>
      <c r="C513" s="96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  <c r="AH513" s="118"/>
    </row>
    <row r="514" ht="15.75" customHeight="1">
      <c r="A514" s="118"/>
      <c r="B514" s="118"/>
      <c r="C514" s="96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  <c r="AH514" s="118"/>
    </row>
    <row r="515" ht="15.75" customHeight="1">
      <c r="A515" s="118"/>
      <c r="B515" s="118"/>
      <c r="C515" s="96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  <c r="AH515" s="118"/>
    </row>
    <row r="516" ht="15.75" customHeight="1">
      <c r="A516" s="118"/>
      <c r="B516" s="118"/>
      <c r="C516" s="96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  <c r="AH516" s="118"/>
    </row>
    <row r="517" ht="15.75" customHeight="1">
      <c r="A517" s="118"/>
      <c r="B517" s="118"/>
      <c r="C517" s="96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  <c r="AH517" s="118"/>
    </row>
    <row r="518" ht="15.75" customHeight="1">
      <c r="A518" s="118"/>
      <c r="B518" s="118"/>
      <c r="C518" s="96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  <c r="AH518" s="118"/>
    </row>
    <row r="519" ht="15.75" customHeight="1">
      <c r="A519" s="118"/>
      <c r="B519" s="118"/>
      <c r="C519" s="96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  <c r="AH519" s="118"/>
    </row>
    <row r="520" ht="15.75" customHeight="1">
      <c r="A520" s="118"/>
      <c r="B520" s="118"/>
      <c r="C520" s="96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  <c r="AH520" s="118"/>
    </row>
    <row r="521" ht="15.75" customHeight="1">
      <c r="A521" s="118"/>
      <c r="B521" s="118"/>
      <c r="C521" s="96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  <c r="AH521" s="118"/>
    </row>
    <row r="522" ht="15.75" customHeight="1">
      <c r="A522" s="118"/>
      <c r="B522" s="118"/>
      <c r="C522" s="96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  <c r="AH522" s="118"/>
    </row>
    <row r="523" ht="15.75" customHeight="1">
      <c r="A523" s="118"/>
      <c r="B523" s="118"/>
      <c r="C523" s="96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  <c r="AH523" s="118"/>
    </row>
    <row r="524" ht="15.75" customHeight="1">
      <c r="A524" s="118"/>
      <c r="B524" s="118"/>
      <c r="C524" s="96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  <c r="AH524" s="118"/>
    </row>
    <row r="525" ht="15.75" customHeight="1">
      <c r="A525" s="118"/>
      <c r="B525" s="118"/>
      <c r="C525" s="96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  <c r="AH525" s="118"/>
    </row>
    <row r="526" ht="15.75" customHeight="1">
      <c r="A526" s="118"/>
      <c r="B526" s="118"/>
      <c r="C526" s="96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  <c r="AH526" s="118"/>
    </row>
    <row r="527" ht="15.75" customHeight="1">
      <c r="A527" s="118"/>
      <c r="B527" s="118"/>
      <c r="C527" s="96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  <c r="AH527" s="118"/>
    </row>
    <row r="528" ht="15.75" customHeight="1">
      <c r="A528" s="118"/>
      <c r="B528" s="118"/>
      <c r="C528" s="96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  <c r="AH528" s="118"/>
    </row>
    <row r="529" ht="15.75" customHeight="1">
      <c r="A529" s="118"/>
      <c r="B529" s="118"/>
      <c r="C529" s="96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  <c r="AH529" s="118"/>
    </row>
    <row r="530" ht="15.75" customHeight="1">
      <c r="A530" s="118"/>
      <c r="B530" s="118"/>
      <c r="C530" s="96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  <c r="AH530" s="118"/>
    </row>
    <row r="531" ht="15.75" customHeight="1">
      <c r="A531" s="118"/>
      <c r="B531" s="118"/>
      <c r="C531" s="96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  <c r="AH531" s="118"/>
    </row>
    <row r="532" ht="15.75" customHeight="1">
      <c r="A532" s="118"/>
      <c r="B532" s="118"/>
      <c r="C532" s="96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  <c r="AH532" s="118"/>
    </row>
    <row r="533" ht="15.75" customHeight="1">
      <c r="A533" s="118"/>
      <c r="B533" s="118"/>
      <c r="C533" s="96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  <c r="AH533" s="118"/>
    </row>
    <row r="534" ht="15.75" customHeight="1">
      <c r="A534" s="118"/>
      <c r="B534" s="118"/>
      <c r="C534" s="96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  <c r="AH534" s="118"/>
    </row>
    <row r="535" ht="15.75" customHeight="1">
      <c r="A535" s="118"/>
      <c r="B535" s="118"/>
      <c r="C535" s="96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  <c r="AH535" s="118"/>
    </row>
    <row r="536" ht="15.75" customHeight="1">
      <c r="A536" s="118"/>
      <c r="B536" s="118"/>
      <c r="C536" s="96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  <c r="AH536" s="118"/>
    </row>
    <row r="537" ht="15.75" customHeight="1">
      <c r="A537" s="118"/>
      <c r="B537" s="118"/>
      <c r="C537" s="96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  <c r="AH537" s="118"/>
    </row>
    <row r="538" ht="15.75" customHeight="1">
      <c r="A538" s="118"/>
      <c r="B538" s="118"/>
      <c r="C538" s="96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  <c r="AH538" s="118"/>
    </row>
    <row r="539" ht="15.75" customHeight="1">
      <c r="A539" s="118"/>
      <c r="B539" s="118"/>
      <c r="C539" s="96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  <c r="AH539" s="118"/>
    </row>
    <row r="540" ht="15.75" customHeight="1">
      <c r="A540" s="118"/>
      <c r="B540" s="118"/>
      <c r="C540" s="96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  <c r="AH540" s="118"/>
    </row>
    <row r="541" ht="15.75" customHeight="1">
      <c r="A541" s="118"/>
      <c r="B541" s="118"/>
      <c r="C541" s="96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  <c r="AH541" s="118"/>
    </row>
    <row r="542" ht="15.75" customHeight="1">
      <c r="A542" s="118"/>
      <c r="B542" s="118"/>
      <c r="C542" s="96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  <c r="AH542" s="118"/>
    </row>
    <row r="543" ht="15.75" customHeight="1">
      <c r="A543" s="118"/>
      <c r="B543" s="118"/>
      <c r="C543" s="96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  <c r="AH543" s="118"/>
    </row>
    <row r="544" ht="15.75" customHeight="1">
      <c r="A544" s="118"/>
      <c r="B544" s="118"/>
      <c r="C544" s="96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  <c r="AH544" s="118"/>
    </row>
    <row r="545" ht="15.75" customHeight="1">
      <c r="A545" s="118"/>
      <c r="B545" s="118"/>
      <c r="C545" s="96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  <c r="AH545" s="118"/>
    </row>
    <row r="546" ht="15.75" customHeight="1">
      <c r="A546" s="118"/>
      <c r="B546" s="118"/>
      <c r="C546" s="96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  <c r="AH546" s="118"/>
    </row>
    <row r="547" ht="15.75" customHeight="1">
      <c r="A547" s="118"/>
      <c r="B547" s="118"/>
      <c r="C547" s="96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  <c r="AH547" s="118"/>
    </row>
    <row r="548" ht="15.75" customHeight="1">
      <c r="A548" s="118"/>
      <c r="B548" s="118"/>
      <c r="C548" s="96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</row>
    <row r="549" ht="15.75" customHeight="1">
      <c r="A549" s="118"/>
      <c r="B549" s="118"/>
      <c r="C549" s="96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  <c r="AH549" s="118"/>
    </row>
    <row r="550" ht="15.75" customHeight="1">
      <c r="A550" s="118"/>
      <c r="B550" s="118"/>
      <c r="C550" s="96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  <c r="AH550" s="118"/>
    </row>
    <row r="551" ht="15.75" customHeight="1">
      <c r="A551" s="118"/>
      <c r="B551" s="118"/>
      <c r="C551" s="96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  <c r="AH551" s="118"/>
    </row>
    <row r="552" ht="15.75" customHeight="1">
      <c r="A552" s="118"/>
      <c r="B552" s="118"/>
      <c r="C552" s="96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  <c r="AH552" s="118"/>
    </row>
    <row r="553" ht="15.75" customHeight="1">
      <c r="A553" s="118"/>
      <c r="B553" s="118"/>
      <c r="C553" s="96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  <c r="AH553" s="118"/>
    </row>
    <row r="554" ht="15.75" customHeight="1">
      <c r="A554" s="118"/>
      <c r="B554" s="118"/>
      <c r="C554" s="96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  <c r="AH554" s="118"/>
    </row>
    <row r="555" ht="15.75" customHeight="1">
      <c r="A555" s="118"/>
      <c r="B555" s="118"/>
      <c r="C555" s="96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  <c r="AH555" s="118"/>
    </row>
    <row r="556" ht="15.75" customHeight="1">
      <c r="A556" s="118"/>
      <c r="B556" s="118"/>
      <c r="C556" s="96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  <c r="AH556" s="118"/>
    </row>
    <row r="557" ht="15.75" customHeight="1">
      <c r="A557" s="118"/>
      <c r="B557" s="118"/>
      <c r="C557" s="96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  <c r="AH557" s="118"/>
    </row>
    <row r="558" ht="15.75" customHeight="1">
      <c r="A558" s="118"/>
      <c r="B558" s="118"/>
      <c r="C558" s="96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  <c r="AH558" s="118"/>
    </row>
    <row r="559" ht="15.75" customHeight="1">
      <c r="A559" s="118"/>
      <c r="B559" s="118"/>
      <c r="C559" s="96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  <c r="AH559" s="118"/>
    </row>
    <row r="560" ht="15.75" customHeight="1">
      <c r="A560" s="118"/>
      <c r="B560" s="118"/>
      <c r="C560" s="96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  <c r="AH560" s="118"/>
    </row>
    <row r="561" ht="15.75" customHeight="1">
      <c r="A561" s="118"/>
      <c r="B561" s="118"/>
      <c r="C561" s="96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  <c r="AH561" s="118"/>
    </row>
    <row r="562" ht="15.75" customHeight="1">
      <c r="A562" s="118"/>
      <c r="B562" s="118"/>
      <c r="C562" s="96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  <c r="AH562" s="118"/>
    </row>
    <row r="563" ht="15.75" customHeight="1">
      <c r="A563" s="118"/>
      <c r="B563" s="118"/>
      <c r="C563" s="96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  <c r="AH563" s="118"/>
    </row>
    <row r="564" ht="15.75" customHeight="1">
      <c r="A564" s="118"/>
      <c r="B564" s="118"/>
      <c r="C564" s="96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  <c r="AH564" s="118"/>
    </row>
    <row r="565" ht="15.75" customHeight="1">
      <c r="A565" s="118"/>
      <c r="B565" s="118"/>
      <c r="C565" s="96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  <c r="AH565" s="118"/>
    </row>
    <row r="566" ht="15.75" customHeight="1">
      <c r="A566" s="118"/>
      <c r="B566" s="118"/>
      <c r="C566" s="96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  <c r="AH566" s="118"/>
    </row>
    <row r="567" ht="15.75" customHeight="1">
      <c r="A567" s="118"/>
      <c r="B567" s="118"/>
      <c r="C567" s="96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  <c r="AH567" s="118"/>
    </row>
    <row r="568" ht="15.75" customHeight="1">
      <c r="A568" s="118"/>
      <c r="B568" s="118"/>
      <c r="C568" s="96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  <c r="AH568" s="118"/>
    </row>
    <row r="569" ht="15.75" customHeight="1">
      <c r="A569" s="118"/>
      <c r="B569" s="118"/>
      <c r="C569" s="96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  <c r="AH569" s="118"/>
    </row>
    <row r="570" ht="15.75" customHeight="1">
      <c r="A570" s="118"/>
      <c r="B570" s="118"/>
      <c r="C570" s="96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  <c r="AH570" s="118"/>
    </row>
    <row r="571" ht="15.75" customHeight="1">
      <c r="A571" s="118"/>
      <c r="B571" s="118"/>
      <c r="C571" s="96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  <c r="AH571" s="118"/>
    </row>
    <row r="572" ht="15.75" customHeight="1">
      <c r="A572" s="118"/>
      <c r="B572" s="118"/>
      <c r="C572" s="96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  <c r="AH572" s="118"/>
    </row>
    <row r="573" ht="15.75" customHeight="1">
      <c r="A573" s="118"/>
      <c r="B573" s="118"/>
      <c r="C573" s="96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  <c r="AH573" s="118"/>
    </row>
    <row r="574" ht="15.75" customHeight="1">
      <c r="A574" s="118"/>
      <c r="B574" s="118"/>
      <c r="C574" s="96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  <c r="AH574" s="118"/>
    </row>
    <row r="575" ht="15.75" customHeight="1">
      <c r="A575" s="118"/>
      <c r="B575" s="118"/>
      <c r="C575" s="96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  <c r="AH575" s="118"/>
    </row>
    <row r="576" ht="15.75" customHeight="1">
      <c r="A576" s="118"/>
      <c r="B576" s="118"/>
      <c r="C576" s="96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  <c r="AH576" s="118"/>
    </row>
    <row r="577" ht="15.75" customHeight="1">
      <c r="A577" s="118"/>
      <c r="B577" s="118"/>
      <c r="C577" s="96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  <c r="AH577" s="118"/>
    </row>
    <row r="578" ht="15.75" customHeight="1">
      <c r="A578" s="118"/>
      <c r="B578" s="118"/>
      <c r="C578" s="96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  <c r="AH578" s="118"/>
    </row>
    <row r="579" ht="15.75" customHeight="1">
      <c r="A579" s="118"/>
      <c r="B579" s="118"/>
      <c r="C579" s="96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  <c r="AH579" s="118"/>
    </row>
    <row r="580" ht="15.75" customHeight="1">
      <c r="A580" s="118"/>
      <c r="B580" s="118"/>
      <c r="C580" s="96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  <c r="AH580" s="118"/>
    </row>
    <row r="581" ht="15.75" customHeight="1">
      <c r="A581" s="118"/>
      <c r="B581" s="118"/>
      <c r="C581" s="96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  <c r="AH581" s="118"/>
    </row>
    <row r="582" ht="15.75" customHeight="1">
      <c r="A582" s="118"/>
      <c r="B582" s="118"/>
      <c r="C582" s="96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  <c r="AH582" s="118"/>
    </row>
    <row r="583" ht="15.75" customHeight="1">
      <c r="A583" s="118"/>
      <c r="B583" s="118"/>
      <c r="C583" s="96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  <c r="AH583" s="118"/>
    </row>
    <row r="584" ht="15.75" customHeight="1">
      <c r="A584" s="118"/>
      <c r="B584" s="118"/>
      <c r="C584" s="96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  <c r="AH584" s="118"/>
    </row>
    <row r="585" ht="15.75" customHeight="1">
      <c r="A585" s="118"/>
      <c r="B585" s="118"/>
      <c r="C585" s="96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  <c r="AH585" s="118"/>
    </row>
    <row r="586" ht="15.75" customHeight="1">
      <c r="A586" s="118"/>
      <c r="B586" s="118"/>
      <c r="C586" s="96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  <c r="AH586" s="118"/>
    </row>
    <row r="587" ht="15.75" customHeight="1">
      <c r="A587" s="118"/>
      <c r="B587" s="118"/>
      <c r="C587" s="96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  <c r="AH587" s="118"/>
    </row>
    <row r="588" ht="15.75" customHeight="1">
      <c r="A588" s="118"/>
      <c r="B588" s="118"/>
      <c r="C588" s="96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  <c r="AH588" s="118"/>
    </row>
    <row r="589" ht="15.75" customHeight="1">
      <c r="A589" s="118"/>
      <c r="B589" s="118"/>
      <c r="C589" s="96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  <c r="AH589" s="118"/>
    </row>
    <row r="590" ht="15.75" customHeight="1">
      <c r="A590" s="118"/>
      <c r="B590" s="118"/>
      <c r="C590" s="96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  <c r="AH590" s="118"/>
    </row>
    <row r="591" ht="15.75" customHeight="1">
      <c r="A591" s="118"/>
      <c r="B591" s="118"/>
      <c r="C591" s="96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  <c r="AH591" s="118"/>
    </row>
    <row r="592" ht="15.75" customHeight="1">
      <c r="A592" s="118"/>
      <c r="B592" s="118"/>
      <c r="C592" s="96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  <c r="AH592" s="118"/>
    </row>
    <row r="593" ht="15.75" customHeight="1">
      <c r="A593" s="118"/>
      <c r="B593" s="118"/>
      <c r="C593" s="96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  <c r="AH593" s="118"/>
    </row>
    <row r="594" ht="15.75" customHeight="1">
      <c r="A594" s="118"/>
      <c r="B594" s="118"/>
      <c r="C594" s="96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  <c r="AH594" s="118"/>
    </row>
    <row r="595" ht="15.75" customHeight="1">
      <c r="A595" s="118"/>
      <c r="B595" s="118"/>
      <c r="C595" s="96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  <c r="AH595" s="118"/>
    </row>
    <row r="596" ht="15.75" customHeight="1">
      <c r="A596" s="118"/>
      <c r="B596" s="118"/>
      <c r="C596" s="96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  <c r="AH596" s="118"/>
    </row>
    <row r="597" ht="15.75" customHeight="1">
      <c r="A597" s="118"/>
      <c r="B597" s="118"/>
      <c r="C597" s="96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  <c r="AH597" s="118"/>
    </row>
    <row r="598" ht="15.75" customHeight="1">
      <c r="A598" s="118"/>
      <c r="B598" s="118"/>
      <c r="C598" s="96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  <c r="AH598" s="118"/>
    </row>
    <row r="599" ht="15.75" customHeight="1">
      <c r="A599" s="118"/>
      <c r="B599" s="118"/>
      <c r="C599" s="96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  <c r="AH599" s="118"/>
    </row>
    <row r="600" ht="15.75" customHeight="1">
      <c r="A600" s="118"/>
      <c r="B600" s="118"/>
      <c r="C600" s="96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</row>
    <row r="601" ht="15.75" customHeight="1">
      <c r="A601" s="118"/>
      <c r="B601" s="118"/>
      <c r="C601" s="96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  <c r="AH601" s="118"/>
    </row>
    <row r="602" ht="15.75" customHeight="1">
      <c r="A602" s="118"/>
      <c r="B602" s="118"/>
      <c r="C602" s="96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  <c r="AH602" s="118"/>
    </row>
    <row r="603" ht="15.75" customHeight="1">
      <c r="A603" s="118"/>
      <c r="B603" s="118"/>
      <c r="C603" s="96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  <c r="AH603" s="118"/>
    </row>
    <row r="604" ht="15.75" customHeight="1">
      <c r="A604" s="118"/>
      <c r="B604" s="118"/>
      <c r="C604" s="96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  <c r="AH604" s="118"/>
    </row>
    <row r="605" ht="15.75" customHeight="1">
      <c r="A605" s="118"/>
      <c r="B605" s="118"/>
      <c r="C605" s="96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  <c r="AH605" s="118"/>
    </row>
    <row r="606" ht="15.75" customHeight="1">
      <c r="A606" s="118"/>
      <c r="B606" s="118"/>
      <c r="C606" s="96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  <c r="AH606" s="118"/>
    </row>
    <row r="607" ht="15.75" customHeight="1">
      <c r="A607" s="118"/>
      <c r="B607" s="118"/>
      <c r="C607" s="96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  <c r="AH607" s="118"/>
    </row>
    <row r="608" ht="15.75" customHeight="1">
      <c r="A608" s="118"/>
      <c r="B608" s="118"/>
      <c r="C608" s="96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  <c r="AH608" s="118"/>
    </row>
    <row r="609" ht="15.75" customHeight="1">
      <c r="A609" s="118"/>
      <c r="B609" s="118"/>
      <c r="C609" s="96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  <c r="AH609" s="118"/>
    </row>
    <row r="610" ht="15.75" customHeight="1">
      <c r="A610" s="118"/>
      <c r="B610" s="118"/>
      <c r="C610" s="96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  <c r="AH610" s="118"/>
    </row>
    <row r="611" ht="15.75" customHeight="1">
      <c r="A611" s="118"/>
      <c r="B611" s="118"/>
      <c r="C611" s="96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  <c r="AH611" s="118"/>
    </row>
    <row r="612" ht="15.75" customHeight="1">
      <c r="A612" s="118"/>
      <c r="B612" s="118"/>
      <c r="C612" s="96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  <c r="AH612" s="118"/>
    </row>
    <row r="613" ht="15.75" customHeight="1">
      <c r="A613" s="118"/>
      <c r="B613" s="118"/>
      <c r="C613" s="96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  <c r="AH613" s="118"/>
    </row>
    <row r="614" ht="15.75" customHeight="1">
      <c r="A614" s="118"/>
      <c r="B614" s="118"/>
      <c r="C614" s="96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  <c r="AH614" s="118"/>
    </row>
    <row r="615" ht="15.75" customHeight="1">
      <c r="A615" s="118"/>
      <c r="B615" s="118"/>
      <c r="C615" s="96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  <c r="AH615" s="118"/>
    </row>
    <row r="616" ht="15.75" customHeight="1">
      <c r="A616" s="118"/>
      <c r="B616" s="118"/>
      <c r="C616" s="96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  <c r="AH616" s="118"/>
    </row>
    <row r="617" ht="15.75" customHeight="1">
      <c r="A617" s="118"/>
      <c r="B617" s="118"/>
      <c r="C617" s="96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  <c r="AH617" s="118"/>
    </row>
    <row r="618" ht="15.75" customHeight="1">
      <c r="A618" s="118"/>
      <c r="B618" s="118"/>
      <c r="C618" s="96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  <c r="AH618" s="118"/>
    </row>
    <row r="619" ht="15.75" customHeight="1">
      <c r="A619" s="118"/>
      <c r="B619" s="118"/>
      <c r="C619" s="96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  <c r="AH619" s="118"/>
    </row>
    <row r="620" ht="15.75" customHeight="1">
      <c r="A620" s="118"/>
      <c r="B620" s="118"/>
      <c r="C620" s="96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  <c r="AH620" s="118"/>
    </row>
    <row r="621" ht="15.75" customHeight="1">
      <c r="A621" s="118"/>
      <c r="B621" s="118"/>
      <c r="C621" s="96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  <c r="AH621" s="118"/>
    </row>
    <row r="622" ht="15.75" customHeight="1">
      <c r="A622" s="118"/>
      <c r="B622" s="118"/>
      <c r="C622" s="96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  <c r="AH622" s="118"/>
    </row>
    <row r="623" ht="15.75" customHeight="1">
      <c r="A623" s="118"/>
      <c r="B623" s="118"/>
      <c r="C623" s="96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  <c r="AH623" s="118"/>
    </row>
    <row r="624" ht="15.75" customHeight="1">
      <c r="A624" s="118"/>
      <c r="B624" s="118"/>
      <c r="C624" s="96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  <c r="AH624" s="118"/>
    </row>
    <row r="625" ht="15.75" customHeight="1">
      <c r="A625" s="118"/>
      <c r="B625" s="118"/>
      <c r="C625" s="96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  <c r="AH625" s="118"/>
    </row>
    <row r="626" ht="15.75" customHeight="1">
      <c r="A626" s="118"/>
      <c r="B626" s="118"/>
      <c r="C626" s="96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  <c r="AH626" s="118"/>
    </row>
    <row r="627" ht="15.75" customHeight="1">
      <c r="A627" s="118"/>
      <c r="B627" s="118"/>
      <c r="C627" s="96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  <c r="AH627" s="118"/>
    </row>
    <row r="628" ht="15.75" customHeight="1">
      <c r="A628" s="118"/>
      <c r="B628" s="118"/>
      <c r="C628" s="96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  <c r="AH628" s="118"/>
    </row>
    <row r="629" ht="15.75" customHeight="1">
      <c r="A629" s="118"/>
      <c r="B629" s="118"/>
      <c r="C629" s="96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  <c r="AH629" s="118"/>
    </row>
    <row r="630" ht="15.75" customHeight="1">
      <c r="A630" s="118"/>
      <c r="B630" s="118"/>
      <c r="C630" s="96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  <c r="AH630" s="118"/>
    </row>
    <row r="631" ht="15.75" customHeight="1">
      <c r="A631" s="118"/>
      <c r="B631" s="118"/>
      <c r="C631" s="96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  <c r="AH631" s="118"/>
    </row>
    <row r="632" ht="15.75" customHeight="1">
      <c r="A632" s="118"/>
      <c r="B632" s="118"/>
      <c r="C632" s="96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  <c r="AH632" s="118"/>
    </row>
    <row r="633" ht="15.75" customHeight="1">
      <c r="A633" s="118"/>
      <c r="B633" s="118"/>
      <c r="C633" s="96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  <c r="AH633" s="118"/>
    </row>
    <row r="634" ht="15.75" customHeight="1">
      <c r="A634" s="118"/>
      <c r="B634" s="118"/>
      <c r="C634" s="96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  <c r="AH634" s="118"/>
    </row>
    <row r="635" ht="15.75" customHeight="1">
      <c r="A635" s="118"/>
      <c r="B635" s="118"/>
      <c r="C635" s="96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  <c r="AH635" s="118"/>
    </row>
    <row r="636" ht="15.75" customHeight="1">
      <c r="A636" s="118"/>
      <c r="B636" s="118"/>
      <c r="C636" s="96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  <c r="AH636" s="118"/>
    </row>
    <row r="637" ht="15.75" customHeight="1">
      <c r="A637" s="118"/>
      <c r="B637" s="118"/>
      <c r="C637" s="96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  <c r="AH637" s="118"/>
    </row>
    <row r="638" ht="15.75" customHeight="1">
      <c r="A638" s="118"/>
      <c r="B638" s="118"/>
      <c r="C638" s="96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  <c r="AH638" s="118"/>
    </row>
    <row r="639" ht="15.75" customHeight="1">
      <c r="A639" s="118"/>
      <c r="B639" s="118"/>
      <c r="C639" s="96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  <c r="AH639" s="118"/>
    </row>
    <row r="640" ht="15.75" customHeight="1">
      <c r="A640" s="118"/>
      <c r="B640" s="118"/>
      <c r="C640" s="96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  <c r="AH640" s="118"/>
    </row>
    <row r="641" ht="15.75" customHeight="1">
      <c r="A641" s="118"/>
      <c r="B641" s="118"/>
      <c r="C641" s="96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  <c r="AH641" s="118"/>
    </row>
    <row r="642" ht="15.75" customHeight="1">
      <c r="A642" s="118"/>
      <c r="B642" s="118"/>
      <c r="C642" s="96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  <c r="AH642" s="118"/>
    </row>
    <row r="643" ht="15.75" customHeight="1">
      <c r="A643" s="118"/>
      <c r="B643" s="118"/>
      <c r="C643" s="96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  <c r="AH643" s="118"/>
    </row>
    <row r="644" ht="15.75" customHeight="1">
      <c r="A644" s="118"/>
      <c r="B644" s="118"/>
      <c r="C644" s="96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  <c r="AH644" s="118"/>
    </row>
    <row r="645" ht="15.75" customHeight="1">
      <c r="A645" s="118"/>
      <c r="B645" s="118"/>
      <c r="C645" s="96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  <c r="AH645" s="118"/>
    </row>
    <row r="646" ht="15.75" customHeight="1">
      <c r="A646" s="118"/>
      <c r="B646" s="118"/>
      <c r="C646" s="96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  <c r="AH646" s="118"/>
    </row>
    <row r="647" ht="15.75" customHeight="1">
      <c r="A647" s="118"/>
      <c r="B647" s="118"/>
      <c r="C647" s="96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  <c r="AH647" s="118"/>
    </row>
    <row r="648" ht="15.75" customHeight="1">
      <c r="A648" s="118"/>
      <c r="B648" s="118"/>
      <c r="C648" s="96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  <c r="AH648" s="118"/>
    </row>
    <row r="649" ht="15.75" customHeight="1">
      <c r="A649" s="118"/>
      <c r="B649" s="118"/>
      <c r="C649" s="96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  <c r="AH649" s="118"/>
    </row>
    <row r="650" ht="15.75" customHeight="1">
      <c r="A650" s="118"/>
      <c r="B650" s="118"/>
      <c r="C650" s="96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  <c r="AH650" s="118"/>
    </row>
    <row r="651" ht="15.75" customHeight="1">
      <c r="A651" s="118"/>
      <c r="B651" s="118"/>
      <c r="C651" s="96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  <c r="AH651" s="118"/>
    </row>
    <row r="652" ht="15.75" customHeight="1">
      <c r="A652" s="118"/>
      <c r="B652" s="118"/>
      <c r="C652" s="96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  <c r="AH652" s="118"/>
    </row>
    <row r="653" ht="15.75" customHeight="1">
      <c r="A653" s="118"/>
      <c r="B653" s="118"/>
      <c r="C653" s="96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  <c r="AH653" s="118"/>
    </row>
    <row r="654" ht="15.75" customHeight="1">
      <c r="A654" s="118"/>
      <c r="B654" s="118"/>
      <c r="C654" s="96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  <c r="AH654" s="118"/>
    </row>
    <row r="655" ht="15.75" customHeight="1">
      <c r="A655" s="118"/>
      <c r="B655" s="118"/>
      <c r="C655" s="96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  <c r="AH655" s="118"/>
    </row>
    <row r="656" ht="15.75" customHeight="1">
      <c r="A656" s="118"/>
      <c r="B656" s="118"/>
      <c r="C656" s="96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  <c r="AH656" s="118"/>
    </row>
    <row r="657" ht="15.75" customHeight="1">
      <c r="A657" s="118"/>
      <c r="B657" s="118"/>
      <c r="C657" s="96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  <c r="AH657" s="118"/>
    </row>
    <row r="658" ht="15.75" customHeight="1">
      <c r="A658" s="118"/>
      <c r="B658" s="118"/>
      <c r="C658" s="96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  <c r="AH658" s="118"/>
    </row>
    <row r="659" ht="15.75" customHeight="1">
      <c r="A659" s="118"/>
      <c r="B659" s="118"/>
      <c r="C659" s="96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  <c r="AH659" s="118"/>
    </row>
    <row r="660" ht="15.75" customHeight="1">
      <c r="A660" s="118"/>
      <c r="B660" s="118"/>
      <c r="C660" s="96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  <c r="AH660" s="118"/>
    </row>
    <row r="661" ht="15.75" customHeight="1">
      <c r="A661" s="118"/>
      <c r="B661" s="118"/>
      <c r="C661" s="96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  <c r="AH661" s="118"/>
    </row>
    <row r="662" ht="15.75" customHeight="1">
      <c r="A662" s="118"/>
      <c r="B662" s="118"/>
      <c r="C662" s="96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  <c r="AH662" s="118"/>
    </row>
    <row r="663" ht="15.75" customHeight="1">
      <c r="A663" s="118"/>
      <c r="B663" s="118"/>
      <c r="C663" s="96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  <c r="AH663" s="118"/>
    </row>
    <row r="664" ht="15.75" customHeight="1">
      <c r="A664" s="118"/>
      <c r="B664" s="118"/>
      <c r="C664" s="96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  <c r="AH664" s="118"/>
    </row>
    <row r="665" ht="15.75" customHeight="1">
      <c r="A665" s="118"/>
      <c r="B665" s="118"/>
      <c r="C665" s="96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  <c r="AH665" s="118"/>
    </row>
    <row r="666" ht="15.75" customHeight="1">
      <c r="A666" s="118"/>
      <c r="B666" s="118"/>
      <c r="C666" s="96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  <c r="AH666" s="118"/>
    </row>
    <row r="667" ht="15.75" customHeight="1">
      <c r="A667" s="118"/>
      <c r="B667" s="118"/>
      <c r="C667" s="96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  <c r="AH667" s="118"/>
    </row>
    <row r="668" ht="15.75" customHeight="1">
      <c r="A668" s="118"/>
      <c r="B668" s="118"/>
      <c r="C668" s="96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  <c r="AH668" s="118"/>
    </row>
    <row r="669" ht="15.75" customHeight="1">
      <c r="A669" s="118"/>
      <c r="B669" s="118"/>
      <c r="C669" s="96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  <c r="AH669" s="118"/>
    </row>
    <row r="670" ht="15.75" customHeight="1">
      <c r="A670" s="118"/>
      <c r="B670" s="118"/>
      <c r="C670" s="96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  <c r="AH670" s="118"/>
    </row>
    <row r="671" ht="15.75" customHeight="1">
      <c r="A671" s="118"/>
      <c r="B671" s="118"/>
      <c r="C671" s="96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  <c r="AH671" s="118"/>
    </row>
    <row r="672" ht="15.75" customHeight="1">
      <c r="A672" s="118"/>
      <c r="B672" s="118"/>
      <c r="C672" s="96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  <c r="AH672" s="118"/>
    </row>
    <row r="673" ht="15.75" customHeight="1">
      <c r="A673" s="118"/>
      <c r="B673" s="118"/>
      <c r="C673" s="96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  <c r="AH673" s="118"/>
    </row>
    <row r="674" ht="15.75" customHeight="1">
      <c r="A674" s="118"/>
      <c r="B674" s="118"/>
      <c r="C674" s="96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  <c r="AH674" s="118"/>
    </row>
    <row r="675" ht="15.75" customHeight="1">
      <c r="A675" s="118"/>
      <c r="B675" s="118"/>
      <c r="C675" s="96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  <c r="AH675" s="118"/>
    </row>
    <row r="676" ht="15.75" customHeight="1">
      <c r="A676" s="118"/>
      <c r="B676" s="118"/>
      <c r="C676" s="96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  <c r="AH676" s="118"/>
    </row>
    <row r="677" ht="15.75" customHeight="1">
      <c r="A677" s="118"/>
      <c r="B677" s="118"/>
      <c r="C677" s="96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  <c r="AH677" s="118"/>
    </row>
    <row r="678" ht="15.75" customHeight="1">
      <c r="A678" s="118"/>
      <c r="B678" s="118"/>
      <c r="C678" s="96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  <c r="AH678" s="118"/>
    </row>
    <row r="679" ht="15.75" customHeight="1">
      <c r="A679" s="118"/>
      <c r="B679" s="118"/>
      <c r="C679" s="96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  <c r="AH679" s="118"/>
    </row>
    <row r="680" ht="15.75" customHeight="1">
      <c r="A680" s="118"/>
      <c r="B680" s="118"/>
      <c r="C680" s="96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  <c r="AH680" s="118"/>
    </row>
    <row r="681" ht="15.75" customHeight="1">
      <c r="A681" s="118"/>
      <c r="B681" s="118"/>
      <c r="C681" s="96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  <c r="AH681" s="118"/>
    </row>
    <row r="682" ht="15.75" customHeight="1">
      <c r="A682" s="118"/>
      <c r="B682" s="118"/>
      <c r="C682" s="96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  <c r="AH682" s="118"/>
    </row>
    <row r="683" ht="15.75" customHeight="1">
      <c r="A683" s="118"/>
      <c r="B683" s="118"/>
      <c r="C683" s="96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  <c r="AH683" s="118"/>
    </row>
    <row r="684" ht="15.75" customHeight="1">
      <c r="A684" s="118"/>
      <c r="B684" s="118"/>
      <c r="C684" s="96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  <c r="AH684" s="118"/>
    </row>
    <row r="685" ht="15.75" customHeight="1">
      <c r="A685" s="118"/>
      <c r="B685" s="118"/>
      <c r="C685" s="96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  <c r="AH685" s="118"/>
    </row>
    <row r="686" ht="15.75" customHeight="1">
      <c r="A686" s="118"/>
      <c r="B686" s="118"/>
      <c r="C686" s="96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  <c r="AH686" s="118"/>
    </row>
    <row r="687" ht="15.75" customHeight="1">
      <c r="A687" s="118"/>
      <c r="B687" s="118"/>
      <c r="C687" s="96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  <c r="AH687" s="118"/>
    </row>
    <row r="688" ht="15.75" customHeight="1">
      <c r="A688" s="118"/>
      <c r="B688" s="118"/>
      <c r="C688" s="96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  <c r="AH688" s="118"/>
    </row>
    <row r="689" ht="15.75" customHeight="1">
      <c r="A689" s="118"/>
      <c r="B689" s="118"/>
      <c r="C689" s="96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  <c r="AH689" s="118"/>
    </row>
    <row r="690" ht="15.75" customHeight="1">
      <c r="A690" s="118"/>
      <c r="B690" s="118"/>
      <c r="C690" s="96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  <c r="AH690" s="118"/>
    </row>
    <row r="691" ht="15.75" customHeight="1">
      <c r="A691" s="118"/>
      <c r="B691" s="118"/>
      <c r="C691" s="96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  <c r="AH691" s="118"/>
    </row>
    <row r="692" ht="15.75" customHeight="1">
      <c r="A692" s="118"/>
      <c r="B692" s="118"/>
      <c r="C692" s="96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  <c r="AH692" s="118"/>
    </row>
    <row r="693" ht="15.75" customHeight="1">
      <c r="A693" s="118"/>
      <c r="B693" s="118"/>
      <c r="C693" s="96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  <c r="AH693" s="118"/>
    </row>
    <row r="694" ht="15.75" customHeight="1">
      <c r="A694" s="118"/>
      <c r="B694" s="118"/>
      <c r="C694" s="96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  <c r="AH694" s="118"/>
    </row>
    <row r="695" ht="15.75" customHeight="1">
      <c r="A695" s="118"/>
      <c r="B695" s="118"/>
      <c r="C695" s="96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  <c r="AH695" s="118"/>
    </row>
    <row r="696" ht="15.75" customHeight="1">
      <c r="A696" s="118"/>
      <c r="B696" s="118"/>
      <c r="C696" s="96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  <c r="AH696" s="118"/>
    </row>
    <row r="697" ht="15.75" customHeight="1">
      <c r="A697" s="118"/>
      <c r="B697" s="118"/>
      <c r="C697" s="96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  <c r="AH697" s="118"/>
    </row>
    <row r="698" ht="15.75" customHeight="1">
      <c r="A698" s="118"/>
      <c r="B698" s="118"/>
      <c r="C698" s="96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  <c r="AH698" s="118"/>
    </row>
    <row r="699" ht="15.75" customHeight="1">
      <c r="A699" s="118"/>
      <c r="B699" s="118"/>
      <c r="C699" s="96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  <c r="AH699" s="118"/>
    </row>
    <row r="700" ht="15.75" customHeight="1">
      <c r="A700" s="118"/>
      <c r="B700" s="118"/>
      <c r="C700" s="96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  <c r="AH700" s="118"/>
    </row>
    <row r="701" ht="15.75" customHeight="1">
      <c r="A701" s="118"/>
      <c r="B701" s="118"/>
      <c r="C701" s="96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  <c r="AH701" s="118"/>
    </row>
    <row r="702" ht="15.75" customHeight="1">
      <c r="A702" s="118"/>
      <c r="B702" s="118"/>
      <c r="C702" s="96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  <c r="AH702" s="118"/>
    </row>
    <row r="703" ht="15.75" customHeight="1">
      <c r="A703" s="118"/>
      <c r="B703" s="118"/>
      <c r="C703" s="96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  <c r="AH703" s="118"/>
    </row>
    <row r="704" ht="15.75" customHeight="1">
      <c r="A704" s="118"/>
      <c r="B704" s="118"/>
      <c r="C704" s="96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  <c r="AH704" s="118"/>
    </row>
    <row r="705" ht="15.75" customHeight="1">
      <c r="A705" s="118"/>
      <c r="B705" s="118"/>
      <c r="C705" s="96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  <c r="AH705" s="118"/>
    </row>
    <row r="706" ht="15.75" customHeight="1">
      <c r="A706" s="118"/>
      <c r="B706" s="118"/>
      <c r="C706" s="96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  <c r="AH706" s="118"/>
    </row>
    <row r="707" ht="15.75" customHeight="1">
      <c r="A707" s="118"/>
      <c r="B707" s="118"/>
      <c r="C707" s="96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  <c r="AH707" s="118"/>
    </row>
    <row r="708" ht="15.75" customHeight="1">
      <c r="A708" s="118"/>
      <c r="B708" s="118"/>
      <c r="C708" s="96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  <c r="AH708" s="118"/>
    </row>
    <row r="709" ht="15.75" customHeight="1">
      <c r="A709" s="118"/>
      <c r="B709" s="118"/>
      <c r="C709" s="96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  <c r="AH709" s="118"/>
    </row>
    <row r="710" ht="15.75" customHeight="1">
      <c r="A710" s="118"/>
      <c r="B710" s="118"/>
      <c r="C710" s="96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  <c r="AH710" s="118"/>
    </row>
    <row r="711" ht="15.75" customHeight="1">
      <c r="A711" s="118"/>
      <c r="B711" s="118"/>
      <c r="C711" s="96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  <c r="AH711" s="118"/>
    </row>
    <row r="712" ht="15.75" customHeight="1">
      <c r="A712" s="118"/>
      <c r="B712" s="118"/>
      <c r="C712" s="96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  <c r="AH712" s="118"/>
    </row>
    <row r="713" ht="15.75" customHeight="1">
      <c r="A713" s="118"/>
      <c r="B713" s="118"/>
      <c r="C713" s="96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  <c r="AH713" s="118"/>
    </row>
    <row r="714" ht="15.75" customHeight="1">
      <c r="A714" s="118"/>
      <c r="B714" s="118"/>
      <c r="C714" s="96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  <c r="AH714" s="118"/>
    </row>
    <row r="715" ht="15.75" customHeight="1">
      <c r="A715" s="118"/>
      <c r="B715" s="118"/>
      <c r="C715" s="96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  <c r="AH715" s="118"/>
    </row>
    <row r="716" ht="15.75" customHeight="1">
      <c r="A716" s="118"/>
      <c r="B716" s="118"/>
      <c r="C716" s="96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  <c r="AH716" s="118"/>
    </row>
    <row r="717" ht="15.75" customHeight="1">
      <c r="A717" s="118"/>
      <c r="B717" s="118"/>
      <c r="C717" s="96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  <c r="AH717" s="118"/>
    </row>
    <row r="718" ht="15.75" customHeight="1">
      <c r="A718" s="118"/>
      <c r="B718" s="118"/>
      <c r="C718" s="96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  <c r="AH718" s="118"/>
    </row>
    <row r="719" ht="15.75" customHeight="1">
      <c r="A719" s="118"/>
      <c r="B719" s="118"/>
      <c r="C719" s="96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  <c r="AH719" s="118"/>
    </row>
    <row r="720" ht="15.75" customHeight="1">
      <c r="A720" s="118"/>
      <c r="B720" s="118"/>
      <c r="C720" s="96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  <c r="AH720" s="118"/>
    </row>
    <row r="721" ht="15.75" customHeight="1">
      <c r="A721" s="118"/>
      <c r="B721" s="118"/>
      <c r="C721" s="96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  <c r="AH721" s="118"/>
    </row>
    <row r="722" ht="15.75" customHeight="1">
      <c r="A722" s="118"/>
      <c r="B722" s="118"/>
      <c r="C722" s="96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  <c r="AH722" s="118"/>
    </row>
    <row r="723" ht="15.75" customHeight="1">
      <c r="A723" s="118"/>
      <c r="B723" s="118"/>
      <c r="C723" s="96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  <c r="AH723" s="118"/>
    </row>
    <row r="724" ht="15.75" customHeight="1">
      <c r="A724" s="118"/>
      <c r="B724" s="118"/>
      <c r="C724" s="96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  <c r="AH724" s="118"/>
    </row>
    <row r="725" ht="15.75" customHeight="1">
      <c r="A725" s="118"/>
      <c r="B725" s="118"/>
      <c r="C725" s="96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  <c r="AH725" s="118"/>
    </row>
    <row r="726" ht="15.75" customHeight="1">
      <c r="A726" s="118"/>
      <c r="B726" s="118"/>
      <c r="C726" s="96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  <c r="AH726" s="118"/>
    </row>
    <row r="727" ht="15.75" customHeight="1">
      <c r="A727" s="118"/>
      <c r="B727" s="118"/>
      <c r="C727" s="96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  <c r="AH727" s="118"/>
    </row>
    <row r="728" ht="15.75" customHeight="1">
      <c r="A728" s="118"/>
      <c r="B728" s="118"/>
      <c r="C728" s="96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  <c r="AH728" s="118"/>
    </row>
    <row r="729" ht="15.75" customHeight="1">
      <c r="A729" s="118"/>
      <c r="B729" s="118"/>
      <c r="C729" s="96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  <c r="AH729" s="118"/>
    </row>
    <row r="730" ht="15.75" customHeight="1">
      <c r="A730" s="118"/>
      <c r="B730" s="118"/>
      <c r="C730" s="96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  <c r="AH730" s="118"/>
    </row>
    <row r="731" ht="15.75" customHeight="1">
      <c r="A731" s="118"/>
      <c r="B731" s="118"/>
      <c r="C731" s="96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  <c r="AH731" s="118"/>
    </row>
    <row r="732" ht="15.75" customHeight="1">
      <c r="A732" s="118"/>
      <c r="B732" s="118"/>
      <c r="C732" s="96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  <c r="AH732" s="118"/>
    </row>
    <row r="733" ht="15.75" customHeight="1">
      <c r="A733" s="118"/>
      <c r="B733" s="118"/>
      <c r="C733" s="96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  <c r="AH733" s="118"/>
    </row>
    <row r="734" ht="15.75" customHeight="1">
      <c r="A734" s="118"/>
      <c r="B734" s="118"/>
      <c r="C734" s="96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  <c r="AH734" s="118"/>
    </row>
    <row r="735" ht="15.75" customHeight="1">
      <c r="A735" s="118"/>
      <c r="B735" s="118"/>
      <c r="C735" s="96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  <c r="AH735" s="118"/>
    </row>
    <row r="736" ht="15.75" customHeight="1">
      <c r="A736" s="118"/>
      <c r="B736" s="118"/>
      <c r="C736" s="96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  <c r="AH736" s="118"/>
    </row>
    <row r="737" ht="15.75" customHeight="1">
      <c r="A737" s="118"/>
      <c r="B737" s="118"/>
      <c r="C737" s="96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  <c r="AH737" s="118"/>
    </row>
    <row r="738" ht="15.75" customHeight="1">
      <c r="A738" s="118"/>
      <c r="B738" s="118"/>
      <c r="C738" s="96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  <c r="AH738" s="118"/>
    </row>
    <row r="739" ht="15.75" customHeight="1">
      <c r="A739" s="118"/>
      <c r="B739" s="118"/>
      <c r="C739" s="96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  <c r="AH739" s="118"/>
    </row>
    <row r="740" ht="15.75" customHeight="1">
      <c r="A740" s="118"/>
      <c r="B740" s="118"/>
      <c r="C740" s="96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  <c r="AH740" s="118"/>
    </row>
    <row r="741" ht="15.75" customHeight="1">
      <c r="A741" s="118"/>
      <c r="B741" s="118"/>
      <c r="C741" s="96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  <c r="AH741" s="118"/>
    </row>
    <row r="742" ht="15.75" customHeight="1">
      <c r="A742" s="118"/>
      <c r="B742" s="118"/>
      <c r="C742" s="96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  <c r="AH742" s="118"/>
    </row>
    <row r="743" ht="15.75" customHeight="1">
      <c r="A743" s="118"/>
      <c r="B743" s="118"/>
      <c r="C743" s="96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  <c r="AH743" s="118"/>
    </row>
    <row r="744" ht="15.75" customHeight="1">
      <c r="A744" s="118"/>
      <c r="B744" s="118"/>
      <c r="C744" s="96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  <c r="AH744" s="118"/>
    </row>
    <row r="745" ht="15.75" customHeight="1">
      <c r="A745" s="118"/>
      <c r="B745" s="118"/>
      <c r="C745" s="96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  <c r="AH745" s="118"/>
    </row>
    <row r="746" ht="15.75" customHeight="1">
      <c r="A746" s="118"/>
      <c r="B746" s="118"/>
      <c r="C746" s="96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  <c r="AH746" s="118"/>
    </row>
    <row r="747" ht="15.75" customHeight="1">
      <c r="A747" s="118"/>
      <c r="B747" s="118"/>
      <c r="C747" s="96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  <c r="AH747" s="118"/>
    </row>
    <row r="748" ht="15.75" customHeight="1">
      <c r="A748" s="118"/>
      <c r="B748" s="118"/>
      <c r="C748" s="96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  <c r="AH748" s="118"/>
    </row>
    <row r="749" ht="15.75" customHeight="1">
      <c r="A749" s="118"/>
      <c r="B749" s="118"/>
      <c r="C749" s="96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  <c r="AH749" s="118"/>
    </row>
    <row r="750" ht="15.75" customHeight="1">
      <c r="A750" s="118"/>
      <c r="B750" s="118"/>
      <c r="C750" s="96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  <c r="AH750" s="118"/>
    </row>
    <row r="751" ht="15.75" customHeight="1">
      <c r="A751" s="118"/>
      <c r="B751" s="118"/>
      <c r="C751" s="96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  <c r="AH751" s="118"/>
    </row>
    <row r="752" ht="15.75" customHeight="1">
      <c r="A752" s="118"/>
      <c r="B752" s="118"/>
      <c r="C752" s="96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  <c r="AH752" s="118"/>
    </row>
    <row r="753" ht="15.75" customHeight="1">
      <c r="A753" s="118"/>
      <c r="B753" s="118"/>
      <c r="C753" s="96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  <c r="AH753" s="118"/>
    </row>
    <row r="754" ht="15.75" customHeight="1">
      <c r="A754" s="118"/>
      <c r="B754" s="118"/>
      <c r="C754" s="96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  <c r="AH754" s="118"/>
    </row>
    <row r="755" ht="15.75" customHeight="1">
      <c r="A755" s="118"/>
      <c r="B755" s="118"/>
      <c r="C755" s="96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  <c r="AH755" s="118"/>
    </row>
    <row r="756" ht="15.75" customHeight="1">
      <c r="A756" s="118"/>
      <c r="B756" s="118"/>
      <c r="C756" s="96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  <c r="AH756" s="118"/>
    </row>
    <row r="757" ht="15.75" customHeight="1">
      <c r="A757" s="118"/>
      <c r="B757" s="118"/>
      <c r="C757" s="96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  <c r="AH757" s="118"/>
    </row>
    <row r="758" ht="15.75" customHeight="1">
      <c r="A758" s="118"/>
      <c r="B758" s="118"/>
      <c r="C758" s="96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  <c r="AH758" s="118"/>
    </row>
    <row r="759" ht="15.75" customHeight="1">
      <c r="A759" s="118"/>
      <c r="B759" s="118"/>
      <c r="C759" s="96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  <c r="AH759" s="118"/>
    </row>
    <row r="760" ht="15.75" customHeight="1">
      <c r="A760" s="118"/>
      <c r="B760" s="118"/>
      <c r="C760" s="96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  <c r="AH760" s="118"/>
    </row>
    <row r="761" ht="15.75" customHeight="1">
      <c r="A761" s="118"/>
      <c r="B761" s="118"/>
      <c r="C761" s="96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  <c r="AH761" s="118"/>
    </row>
    <row r="762" ht="15.75" customHeight="1">
      <c r="A762" s="118"/>
      <c r="B762" s="118"/>
      <c r="C762" s="96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  <c r="AH762" s="118"/>
    </row>
    <row r="763" ht="15.75" customHeight="1">
      <c r="A763" s="118"/>
      <c r="B763" s="118"/>
      <c r="C763" s="96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  <c r="AH763" s="118"/>
    </row>
    <row r="764" ht="15.75" customHeight="1">
      <c r="A764" s="118"/>
      <c r="B764" s="118"/>
      <c r="C764" s="96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  <c r="AH764" s="118"/>
    </row>
    <row r="765" ht="15.75" customHeight="1">
      <c r="A765" s="118"/>
      <c r="B765" s="118"/>
      <c r="C765" s="96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  <c r="AH765" s="118"/>
    </row>
    <row r="766" ht="15.75" customHeight="1">
      <c r="A766" s="118"/>
      <c r="B766" s="118"/>
      <c r="C766" s="96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  <c r="AH766" s="118"/>
    </row>
    <row r="767" ht="15.75" customHeight="1">
      <c r="A767" s="118"/>
      <c r="B767" s="118"/>
      <c r="C767" s="96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  <c r="AH767" s="118"/>
    </row>
    <row r="768" ht="15.75" customHeight="1">
      <c r="A768" s="118"/>
      <c r="B768" s="118"/>
      <c r="C768" s="96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  <c r="AH768" s="118"/>
    </row>
    <row r="769" ht="15.75" customHeight="1">
      <c r="A769" s="118"/>
      <c r="B769" s="118"/>
      <c r="C769" s="96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  <c r="AH769" s="118"/>
    </row>
    <row r="770" ht="15.75" customHeight="1">
      <c r="A770" s="118"/>
      <c r="B770" s="118"/>
      <c r="C770" s="96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  <c r="AH770" s="118"/>
    </row>
    <row r="771" ht="15.75" customHeight="1">
      <c r="A771" s="118"/>
      <c r="B771" s="118"/>
      <c r="C771" s="96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  <c r="AH771" s="118"/>
    </row>
    <row r="772" ht="15.75" customHeight="1">
      <c r="A772" s="118"/>
      <c r="B772" s="118"/>
      <c r="C772" s="96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  <c r="AH772" s="118"/>
    </row>
    <row r="773" ht="15.75" customHeight="1">
      <c r="A773" s="118"/>
      <c r="B773" s="118"/>
      <c r="C773" s="96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  <c r="AH773" s="118"/>
    </row>
    <row r="774" ht="15.75" customHeight="1">
      <c r="A774" s="118"/>
      <c r="B774" s="118"/>
      <c r="C774" s="96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  <c r="AH774" s="118"/>
    </row>
    <row r="775" ht="15.75" customHeight="1">
      <c r="A775" s="118"/>
      <c r="B775" s="118"/>
      <c r="C775" s="96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  <c r="AH775" s="118"/>
    </row>
    <row r="776" ht="15.75" customHeight="1">
      <c r="A776" s="118"/>
      <c r="B776" s="118"/>
      <c r="C776" s="96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  <c r="AH776" s="118"/>
    </row>
    <row r="777" ht="15.75" customHeight="1">
      <c r="A777" s="118"/>
      <c r="B777" s="118"/>
      <c r="C777" s="96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  <c r="AH777" s="118"/>
    </row>
    <row r="778" ht="15.75" customHeight="1">
      <c r="A778" s="118"/>
      <c r="B778" s="118"/>
      <c r="C778" s="96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  <c r="AH778" s="118"/>
    </row>
    <row r="779" ht="15.75" customHeight="1">
      <c r="A779" s="118"/>
      <c r="B779" s="118"/>
      <c r="C779" s="96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  <c r="AH779" s="118"/>
    </row>
    <row r="780" ht="15.75" customHeight="1">
      <c r="A780" s="118"/>
      <c r="B780" s="118"/>
      <c r="C780" s="96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  <c r="AH780" s="118"/>
    </row>
    <row r="781" ht="15.75" customHeight="1">
      <c r="A781" s="118"/>
      <c r="B781" s="118"/>
      <c r="C781" s="96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  <c r="AH781" s="118"/>
    </row>
    <row r="782" ht="15.75" customHeight="1">
      <c r="A782" s="118"/>
      <c r="B782" s="118"/>
      <c r="C782" s="96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  <c r="AH782" s="118"/>
    </row>
    <row r="783" ht="15.75" customHeight="1">
      <c r="A783" s="118"/>
      <c r="B783" s="118"/>
      <c r="C783" s="96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  <c r="AH783" s="118"/>
    </row>
    <row r="784" ht="15.75" customHeight="1">
      <c r="A784" s="118"/>
      <c r="B784" s="118"/>
      <c r="C784" s="96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  <c r="AH784" s="118"/>
    </row>
    <row r="785" ht="15.75" customHeight="1">
      <c r="A785" s="118"/>
      <c r="B785" s="118"/>
      <c r="C785" s="96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  <c r="AH785" s="118"/>
    </row>
    <row r="786" ht="15.75" customHeight="1">
      <c r="A786" s="118"/>
      <c r="B786" s="118"/>
      <c r="C786" s="96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  <c r="AH786" s="118"/>
    </row>
    <row r="787" ht="15.75" customHeight="1">
      <c r="A787" s="118"/>
      <c r="B787" s="118"/>
      <c r="C787" s="96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  <c r="AH787" s="118"/>
    </row>
    <row r="788" ht="15.75" customHeight="1">
      <c r="A788" s="118"/>
      <c r="B788" s="118"/>
      <c r="C788" s="96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  <c r="AH788" s="118"/>
    </row>
    <row r="789" ht="15.75" customHeight="1">
      <c r="A789" s="118"/>
      <c r="B789" s="118"/>
      <c r="C789" s="96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  <c r="AH789" s="118"/>
    </row>
    <row r="790" ht="15.75" customHeight="1">
      <c r="A790" s="118"/>
      <c r="B790" s="118"/>
      <c r="C790" s="96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  <c r="AH790" s="118"/>
    </row>
    <row r="791" ht="15.75" customHeight="1">
      <c r="A791" s="118"/>
      <c r="B791" s="118"/>
      <c r="C791" s="96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  <c r="AH791" s="118"/>
    </row>
    <row r="792" ht="15.75" customHeight="1">
      <c r="A792" s="118"/>
      <c r="B792" s="118"/>
      <c r="C792" s="96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  <c r="AH792" s="118"/>
    </row>
    <row r="793" ht="15.75" customHeight="1">
      <c r="A793" s="118"/>
      <c r="B793" s="118"/>
      <c r="C793" s="96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  <c r="AH793" s="118"/>
    </row>
    <row r="794" ht="15.75" customHeight="1">
      <c r="A794" s="118"/>
      <c r="B794" s="118"/>
      <c r="C794" s="96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  <c r="AH794" s="118"/>
    </row>
    <row r="795" ht="15.75" customHeight="1">
      <c r="A795" s="118"/>
      <c r="B795" s="118"/>
      <c r="C795" s="96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  <c r="AH795" s="118"/>
    </row>
    <row r="796" ht="15.75" customHeight="1">
      <c r="A796" s="118"/>
      <c r="B796" s="118"/>
      <c r="C796" s="96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  <c r="AH796" s="118"/>
    </row>
    <row r="797" ht="15.75" customHeight="1">
      <c r="A797" s="118"/>
      <c r="B797" s="118"/>
      <c r="C797" s="96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  <c r="AH797" s="118"/>
    </row>
    <row r="798" ht="15.75" customHeight="1">
      <c r="A798" s="118"/>
      <c r="B798" s="118"/>
      <c r="C798" s="96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  <c r="AH798" s="118"/>
    </row>
    <row r="799" ht="15.75" customHeight="1">
      <c r="A799" s="118"/>
      <c r="B799" s="118"/>
      <c r="C799" s="96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  <c r="AH799" s="118"/>
    </row>
    <row r="800" ht="15.75" customHeight="1">
      <c r="A800" s="118"/>
      <c r="B800" s="118"/>
      <c r="C800" s="96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  <c r="AH800" s="118"/>
    </row>
    <row r="801" ht="15.75" customHeight="1">
      <c r="A801" s="118"/>
      <c r="B801" s="118"/>
      <c r="C801" s="96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  <c r="AH801" s="118"/>
    </row>
    <row r="802" ht="15.75" customHeight="1">
      <c r="A802" s="118"/>
      <c r="B802" s="118"/>
      <c r="C802" s="96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  <c r="AH802" s="118"/>
    </row>
    <row r="803" ht="15.75" customHeight="1">
      <c r="A803" s="118"/>
      <c r="B803" s="118"/>
      <c r="C803" s="96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  <c r="AH803" s="118"/>
    </row>
    <row r="804" ht="15.75" customHeight="1">
      <c r="A804" s="118"/>
      <c r="B804" s="118"/>
      <c r="C804" s="96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  <c r="AH804" s="118"/>
    </row>
    <row r="805" ht="15.75" customHeight="1">
      <c r="A805" s="118"/>
      <c r="B805" s="118"/>
      <c r="C805" s="96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  <c r="AH805" s="118"/>
    </row>
    <row r="806" ht="15.75" customHeight="1">
      <c r="A806" s="118"/>
      <c r="B806" s="118"/>
      <c r="C806" s="96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  <c r="AH806" s="118"/>
    </row>
    <row r="807" ht="15.75" customHeight="1">
      <c r="A807" s="118"/>
      <c r="B807" s="118"/>
      <c r="C807" s="96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  <c r="AH807" s="118"/>
    </row>
    <row r="808" ht="15.75" customHeight="1">
      <c r="A808" s="118"/>
      <c r="B808" s="118"/>
      <c r="C808" s="96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  <c r="AH808" s="118"/>
    </row>
    <row r="809" ht="15.75" customHeight="1">
      <c r="A809" s="118"/>
      <c r="B809" s="118"/>
      <c r="C809" s="96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  <c r="AH809" s="118"/>
    </row>
    <row r="810" ht="15.75" customHeight="1">
      <c r="A810" s="118"/>
      <c r="B810" s="118"/>
      <c r="C810" s="96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  <c r="AH810" s="118"/>
    </row>
    <row r="811" ht="15.75" customHeight="1">
      <c r="A811" s="118"/>
      <c r="B811" s="118"/>
      <c r="C811" s="96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  <c r="AH811" s="118"/>
    </row>
    <row r="812" ht="15.75" customHeight="1">
      <c r="A812" s="118"/>
      <c r="B812" s="118"/>
      <c r="C812" s="96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  <c r="AH812" s="118"/>
    </row>
    <row r="813" ht="15.75" customHeight="1">
      <c r="A813" s="118"/>
      <c r="B813" s="118"/>
      <c r="C813" s="96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  <c r="AH813" s="118"/>
    </row>
    <row r="814" ht="15.75" customHeight="1">
      <c r="A814" s="118"/>
      <c r="B814" s="118"/>
      <c r="C814" s="96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  <c r="AH814" s="118"/>
    </row>
    <row r="815" ht="15.75" customHeight="1">
      <c r="A815" s="118"/>
      <c r="B815" s="118"/>
      <c r="C815" s="96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  <c r="AH815" s="118"/>
    </row>
    <row r="816" ht="15.75" customHeight="1">
      <c r="A816" s="118"/>
      <c r="B816" s="118"/>
      <c r="C816" s="96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  <c r="AH816" s="118"/>
    </row>
    <row r="817" ht="15.75" customHeight="1">
      <c r="A817" s="118"/>
      <c r="B817" s="118"/>
      <c r="C817" s="96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  <c r="AH817" s="118"/>
    </row>
    <row r="818" ht="15.75" customHeight="1">
      <c r="A818" s="118"/>
      <c r="B818" s="118"/>
      <c r="C818" s="96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  <c r="AH818" s="118"/>
    </row>
    <row r="819" ht="15.75" customHeight="1">
      <c r="A819" s="118"/>
      <c r="B819" s="118"/>
      <c r="C819" s="96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  <c r="AH819" s="118"/>
    </row>
    <row r="820" ht="15.75" customHeight="1">
      <c r="A820" s="118"/>
      <c r="B820" s="118"/>
      <c r="C820" s="96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  <c r="AH820" s="118"/>
    </row>
    <row r="821" ht="15.75" customHeight="1">
      <c r="A821" s="118"/>
      <c r="B821" s="118"/>
      <c r="C821" s="96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  <c r="AH821" s="118"/>
    </row>
    <row r="822" ht="15.75" customHeight="1">
      <c r="A822" s="118"/>
      <c r="B822" s="118"/>
      <c r="C822" s="96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  <c r="AH822" s="118"/>
    </row>
    <row r="823" ht="15.75" customHeight="1">
      <c r="A823" s="118"/>
      <c r="B823" s="118"/>
      <c r="C823" s="96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  <c r="AH823" s="118"/>
    </row>
    <row r="824" ht="15.75" customHeight="1">
      <c r="A824" s="118"/>
      <c r="B824" s="118"/>
      <c r="C824" s="96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  <c r="AH824" s="118"/>
    </row>
    <row r="825" ht="15.75" customHeight="1">
      <c r="A825" s="118"/>
      <c r="B825" s="118"/>
      <c r="C825" s="96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  <c r="AH825" s="118"/>
    </row>
    <row r="826" ht="15.75" customHeight="1">
      <c r="A826" s="118"/>
      <c r="B826" s="118"/>
      <c r="C826" s="96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  <c r="AH826" s="118"/>
    </row>
    <row r="827" ht="15.75" customHeight="1">
      <c r="A827" s="118"/>
      <c r="B827" s="118"/>
      <c r="C827" s="96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  <c r="AH827" s="118"/>
    </row>
    <row r="828" ht="15.75" customHeight="1">
      <c r="A828" s="118"/>
      <c r="B828" s="118"/>
      <c r="C828" s="96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  <c r="AH828" s="118"/>
    </row>
    <row r="829" ht="15.75" customHeight="1">
      <c r="A829" s="118"/>
      <c r="B829" s="118"/>
      <c r="C829" s="96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  <c r="AH829" s="118"/>
    </row>
    <row r="830" ht="15.75" customHeight="1">
      <c r="A830" s="118"/>
      <c r="B830" s="118"/>
      <c r="C830" s="96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  <c r="AH830" s="118"/>
    </row>
    <row r="831" ht="15.75" customHeight="1">
      <c r="A831" s="118"/>
      <c r="B831" s="118"/>
      <c r="C831" s="96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  <c r="AH831" s="118"/>
    </row>
    <row r="832" ht="15.75" customHeight="1">
      <c r="A832" s="118"/>
      <c r="B832" s="118"/>
      <c r="C832" s="96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  <c r="AH832" s="118"/>
    </row>
    <row r="833" ht="15.75" customHeight="1">
      <c r="A833" s="118"/>
      <c r="B833" s="118"/>
      <c r="C833" s="96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  <c r="AH833" s="118"/>
    </row>
    <row r="834" ht="15.75" customHeight="1">
      <c r="A834" s="118"/>
      <c r="B834" s="118"/>
      <c r="C834" s="96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  <c r="AH834" s="118"/>
    </row>
    <row r="835" ht="15.75" customHeight="1">
      <c r="A835" s="118"/>
      <c r="B835" s="118"/>
      <c r="C835" s="96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  <c r="AH835" s="118"/>
    </row>
    <row r="836" ht="15.75" customHeight="1">
      <c r="A836" s="118"/>
      <c r="B836" s="118"/>
      <c r="C836" s="96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  <c r="AH836" s="118"/>
    </row>
    <row r="837" ht="15.75" customHeight="1">
      <c r="A837" s="118"/>
      <c r="B837" s="118"/>
      <c r="C837" s="96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  <c r="AH837" s="118"/>
    </row>
    <row r="838" ht="15.75" customHeight="1">
      <c r="A838" s="118"/>
      <c r="B838" s="118"/>
      <c r="C838" s="96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  <c r="AH838" s="118"/>
    </row>
    <row r="839" ht="15.75" customHeight="1">
      <c r="A839" s="118"/>
      <c r="B839" s="118"/>
      <c r="C839" s="96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  <c r="AH839" s="118"/>
    </row>
    <row r="840" ht="15.75" customHeight="1">
      <c r="A840" s="118"/>
      <c r="B840" s="118"/>
      <c r="C840" s="96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  <c r="AH840" s="118"/>
    </row>
    <row r="841" ht="15.75" customHeight="1">
      <c r="A841" s="118"/>
      <c r="B841" s="118"/>
      <c r="C841" s="96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  <c r="AH841" s="118"/>
    </row>
    <row r="842" ht="15.75" customHeight="1">
      <c r="A842" s="118"/>
      <c r="B842" s="118"/>
      <c r="C842" s="96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  <c r="AH842" s="118"/>
    </row>
    <row r="843" ht="15.75" customHeight="1">
      <c r="A843" s="118"/>
      <c r="B843" s="118"/>
      <c r="C843" s="96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  <c r="AH843" s="118"/>
    </row>
    <row r="844" ht="15.75" customHeight="1">
      <c r="A844" s="118"/>
      <c r="B844" s="118"/>
      <c r="C844" s="96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  <c r="AH844" s="118"/>
    </row>
    <row r="845" ht="15.75" customHeight="1">
      <c r="A845" s="118"/>
      <c r="B845" s="118"/>
      <c r="C845" s="96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  <c r="AG845" s="118"/>
      <c r="AH845" s="118"/>
    </row>
    <row r="846" ht="15.75" customHeight="1">
      <c r="A846" s="118"/>
      <c r="B846" s="118"/>
      <c r="C846" s="96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  <c r="AG846" s="118"/>
      <c r="AH846" s="118"/>
    </row>
    <row r="847" ht="15.75" customHeight="1">
      <c r="A847" s="118"/>
      <c r="B847" s="118"/>
      <c r="C847" s="96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  <c r="AG847" s="118"/>
      <c r="AH847" s="118"/>
    </row>
    <row r="848" ht="15.75" customHeight="1">
      <c r="A848" s="118"/>
      <c r="B848" s="118"/>
      <c r="C848" s="96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  <c r="AG848" s="118"/>
      <c r="AH848" s="118"/>
    </row>
    <row r="849" ht="15.75" customHeight="1">
      <c r="A849" s="118"/>
      <c r="B849" s="118"/>
      <c r="C849" s="96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  <c r="AG849" s="118"/>
      <c r="AH849" s="118"/>
    </row>
    <row r="850" ht="15.75" customHeight="1">
      <c r="A850" s="118"/>
      <c r="B850" s="118"/>
      <c r="C850" s="96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  <c r="AG850" s="118"/>
      <c r="AH850" s="118"/>
    </row>
    <row r="851" ht="15.75" customHeight="1">
      <c r="A851" s="118"/>
      <c r="B851" s="118"/>
      <c r="C851" s="96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  <c r="AG851" s="118"/>
      <c r="AH851" s="118"/>
    </row>
    <row r="852" ht="15.75" customHeight="1">
      <c r="A852" s="118"/>
      <c r="B852" s="118"/>
      <c r="C852" s="96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  <c r="AG852" s="118"/>
      <c r="AH852" s="118"/>
    </row>
    <row r="853" ht="15.75" customHeight="1">
      <c r="A853" s="118"/>
      <c r="B853" s="118"/>
      <c r="C853" s="96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  <c r="AG853" s="118"/>
      <c r="AH853" s="118"/>
    </row>
    <row r="854" ht="15.75" customHeight="1">
      <c r="A854" s="118"/>
      <c r="B854" s="118"/>
      <c r="C854" s="96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  <c r="AG854" s="118"/>
      <c r="AH854" s="118"/>
    </row>
    <row r="855" ht="15.75" customHeight="1">
      <c r="A855" s="118"/>
      <c r="B855" s="118"/>
      <c r="C855" s="96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  <c r="AG855" s="118"/>
      <c r="AH855" s="118"/>
    </row>
    <row r="856" ht="15.75" customHeight="1">
      <c r="A856" s="118"/>
      <c r="B856" s="118"/>
      <c r="C856" s="96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  <c r="AH856" s="118"/>
    </row>
    <row r="857" ht="15.75" customHeight="1">
      <c r="A857" s="118"/>
      <c r="B857" s="118"/>
      <c r="C857" s="96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  <c r="AH857" s="118"/>
    </row>
    <row r="858" ht="15.75" customHeight="1">
      <c r="A858" s="118"/>
      <c r="B858" s="118"/>
      <c r="C858" s="96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  <c r="AH858" s="118"/>
    </row>
    <row r="859" ht="15.75" customHeight="1">
      <c r="A859" s="118"/>
      <c r="B859" s="118"/>
      <c r="C859" s="96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  <c r="AH859" s="118"/>
    </row>
    <row r="860" ht="15.75" customHeight="1">
      <c r="A860" s="118"/>
      <c r="B860" s="118"/>
      <c r="C860" s="96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  <c r="AH860" s="118"/>
    </row>
    <row r="861" ht="15.75" customHeight="1">
      <c r="A861" s="118"/>
      <c r="B861" s="118"/>
      <c r="C861" s="96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  <c r="AH861" s="118"/>
    </row>
    <row r="862" ht="15.75" customHeight="1">
      <c r="A862" s="118"/>
      <c r="B862" s="118"/>
      <c r="C862" s="96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  <c r="AH862" s="118"/>
    </row>
    <row r="863" ht="15.75" customHeight="1">
      <c r="A863" s="118"/>
      <c r="B863" s="118"/>
      <c r="C863" s="96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  <c r="AH863" s="118"/>
    </row>
    <row r="864" ht="15.75" customHeight="1">
      <c r="A864" s="118"/>
      <c r="B864" s="118"/>
      <c r="C864" s="96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  <c r="AH864" s="118"/>
    </row>
    <row r="865" ht="15.75" customHeight="1">
      <c r="A865" s="118"/>
      <c r="B865" s="118"/>
      <c r="C865" s="96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  <c r="AH865" s="118"/>
    </row>
    <row r="866" ht="15.75" customHeight="1">
      <c r="A866" s="118"/>
      <c r="B866" s="118"/>
      <c r="C866" s="96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  <c r="AH866" s="118"/>
    </row>
    <row r="867" ht="15.75" customHeight="1">
      <c r="A867" s="118"/>
      <c r="B867" s="118"/>
      <c r="C867" s="96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  <c r="AH867" s="118"/>
    </row>
    <row r="868" ht="15.75" customHeight="1">
      <c r="A868" s="118"/>
      <c r="B868" s="118"/>
      <c r="C868" s="96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  <c r="AH868" s="118"/>
    </row>
    <row r="869" ht="15.75" customHeight="1">
      <c r="A869" s="118"/>
      <c r="B869" s="118"/>
      <c r="C869" s="96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  <c r="AH869" s="118"/>
    </row>
    <row r="870" ht="15.75" customHeight="1">
      <c r="A870" s="118"/>
      <c r="B870" s="118"/>
      <c r="C870" s="96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  <c r="AH870" s="118"/>
    </row>
    <row r="871" ht="15.75" customHeight="1">
      <c r="A871" s="118"/>
      <c r="B871" s="118"/>
      <c r="C871" s="96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  <c r="AH871" s="118"/>
    </row>
    <row r="872" ht="15.75" customHeight="1">
      <c r="A872" s="118"/>
      <c r="B872" s="118"/>
      <c r="C872" s="96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  <c r="AH872" s="118"/>
    </row>
    <row r="873" ht="15.75" customHeight="1">
      <c r="A873" s="118"/>
      <c r="B873" s="118"/>
      <c r="C873" s="96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  <c r="AH873" s="118"/>
    </row>
    <row r="874" ht="15.75" customHeight="1">
      <c r="A874" s="118"/>
      <c r="B874" s="118"/>
      <c r="C874" s="96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  <c r="AH874" s="118"/>
    </row>
    <row r="875" ht="15.75" customHeight="1">
      <c r="A875" s="118"/>
      <c r="B875" s="118"/>
      <c r="C875" s="96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  <c r="AH875" s="118"/>
    </row>
    <row r="876" ht="15.75" customHeight="1">
      <c r="A876" s="118"/>
      <c r="B876" s="118"/>
      <c r="C876" s="96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  <c r="AH876" s="118"/>
    </row>
    <row r="877" ht="15.75" customHeight="1">
      <c r="A877" s="118"/>
      <c r="B877" s="118"/>
      <c r="C877" s="96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  <c r="AG877" s="118"/>
      <c r="AH877" s="118"/>
    </row>
    <row r="878" ht="15.75" customHeight="1">
      <c r="A878" s="118"/>
      <c r="B878" s="118"/>
      <c r="C878" s="96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  <c r="AG878" s="118"/>
      <c r="AH878" s="118"/>
    </row>
    <row r="879" ht="15.75" customHeight="1">
      <c r="A879" s="118"/>
      <c r="B879" s="118"/>
      <c r="C879" s="96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  <c r="AG879" s="118"/>
      <c r="AH879" s="118"/>
    </row>
    <row r="880" ht="15.75" customHeight="1">
      <c r="A880" s="118"/>
      <c r="B880" s="118"/>
      <c r="C880" s="96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  <c r="AG880" s="118"/>
      <c r="AH880" s="118"/>
    </row>
    <row r="881" ht="15.75" customHeight="1">
      <c r="A881" s="118"/>
      <c r="B881" s="118"/>
      <c r="C881" s="96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  <c r="AG881" s="118"/>
      <c r="AH881" s="118"/>
    </row>
    <row r="882" ht="15.75" customHeight="1">
      <c r="A882" s="118"/>
      <c r="B882" s="118"/>
      <c r="C882" s="96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  <c r="AG882" s="118"/>
      <c r="AH882" s="118"/>
    </row>
    <row r="883" ht="15.75" customHeight="1">
      <c r="A883" s="118"/>
      <c r="B883" s="118"/>
      <c r="C883" s="96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  <c r="AG883" s="118"/>
      <c r="AH883" s="118"/>
    </row>
    <row r="884" ht="15.75" customHeight="1">
      <c r="A884" s="118"/>
      <c r="B884" s="118"/>
      <c r="C884" s="96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  <c r="AG884" s="118"/>
      <c r="AH884" s="118"/>
    </row>
    <row r="885" ht="15.75" customHeight="1">
      <c r="A885" s="118"/>
      <c r="B885" s="118"/>
      <c r="C885" s="96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  <c r="AG885" s="118"/>
      <c r="AH885" s="118"/>
    </row>
    <row r="886" ht="15.75" customHeight="1">
      <c r="A886" s="118"/>
      <c r="B886" s="118"/>
      <c r="C886" s="96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  <c r="AG886" s="118"/>
      <c r="AH886" s="118"/>
    </row>
    <row r="887" ht="15.75" customHeight="1">
      <c r="A887" s="118"/>
      <c r="B887" s="118"/>
      <c r="C887" s="96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  <c r="AH887" s="118"/>
    </row>
    <row r="888" ht="15.75" customHeight="1">
      <c r="A888" s="118"/>
      <c r="B888" s="118"/>
      <c r="C888" s="96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  <c r="AG888" s="118"/>
      <c r="AH888" s="118"/>
    </row>
    <row r="889" ht="15.75" customHeight="1">
      <c r="A889" s="118"/>
      <c r="B889" s="118"/>
      <c r="C889" s="96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  <c r="AG889" s="118"/>
      <c r="AH889" s="118"/>
    </row>
    <row r="890" ht="15.75" customHeight="1">
      <c r="A890" s="118"/>
      <c r="B890" s="118"/>
      <c r="C890" s="96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  <c r="AG890" s="118"/>
      <c r="AH890" s="118"/>
    </row>
    <row r="891" ht="15.75" customHeight="1">
      <c r="A891" s="118"/>
      <c r="B891" s="118"/>
      <c r="C891" s="96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  <c r="AG891" s="118"/>
      <c r="AH891" s="118"/>
    </row>
    <row r="892" ht="15.75" customHeight="1">
      <c r="A892" s="118"/>
      <c r="B892" s="118"/>
      <c r="C892" s="96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  <c r="AG892" s="118"/>
      <c r="AH892" s="118"/>
    </row>
    <row r="893" ht="15.75" customHeight="1">
      <c r="A893" s="118"/>
      <c r="B893" s="118"/>
      <c r="C893" s="96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  <c r="AG893" s="118"/>
      <c r="AH893" s="118"/>
    </row>
    <row r="894" ht="15.75" customHeight="1">
      <c r="A894" s="118"/>
      <c r="B894" s="118"/>
      <c r="C894" s="96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  <c r="AG894" s="118"/>
      <c r="AH894" s="118"/>
    </row>
    <row r="895" ht="15.75" customHeight="1">
      <c r="A895" s="118"/>
      <c r="B895" s="118"/>
      <c r="C895" s="96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  <c r="AG895" s="118"/>
      <c r="AH895" s="118"/>
    </row>
    <row r="896" ht="15.75" customHeight="1">
      <c r="A896" s="118"/>
      <c r="B896" s="118"/>
      <c r="C896" s="96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  <c r="AG896" s="118"/>
      <c r="AH896" s="118"/>
    </row>
    <row r="897" ht="15.75" customHeight="1">
      <c r="A897" s="118"/>
      <c r="B897" s="118"/>
      <c r="C897" s="96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  <c r="AG897" s="118"/>
      <c r="AH897" s="118"/>
    </row>
    <row r="898" ht="15.75" customHeight="1">
      <c r="A898" s="118"/>
      <c r="B898" s="118"/>
      <c r="C898" s="96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  <c r="AG898" s="118"/>
      <c r="AH898" s="118"/>
    </row>
    <row r="899" ht="15.75" customHeight="1">
      <c r="A899" s="118"/>
      <c r="B899" s="118"/>
      <c r="C899" s="96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  <c r="AG899" s="118"/>
      <c r="AH899" s="118"/>
    </row>
    <row r="900" ht="15.75" customHeight="1">
      <c r="A900" s="118"/>
      <c r="B900" s="118"/>
      <c r="C900" s="96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  <c r="AG900" s="118"/>
      <c r="AH900" s="118"/>
    </row>
    <row r="901" ht="15.75" customHeight="1">
      <c r="A901" s="118"/>
      <c r="B901" s="118"/>
      <c r="C901" s="96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  <c r="AG901" s="118"/>
      <c r="AH901" s="118"/>
    </row>
    <row r="902" ht="15.75" customHeight="1">
      <c r="A902" s="118"/>
      <c r="B902" s="118"/>
      <c r="C902" s="96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  <c r="AG902" s="118"/>
      <c r="AH902" s="118"/>
    </row>
    <row r="903" ht="15.75" customHeight="1">
      <c r="A903" s="118"/>
      <c r="B903" s="118"/>
      <c r="C903" s="96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  <c r="AG903" s="118"/>
      <c r="AH903" s="118"/>
    </row>
    <row r="904" ht="15.75" customHeight="1">
      <c r="A904" s="118"/>
      <c r="B904" s="118"/>
      <c r="C904" s="96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  <c r="AG904" s="118"/>
      <c r="AH904" s="118"/>
    </row>
    <row r="905" ht="15.75" customHeight="1">
      <c r="A905" s="118"/>
      <c r="B905" s="118"/>
      <c r="C905" s="96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  <c r="AG905" s="118"/>
      <c r="AH905" s="118"/>
    </row>
    <row r="906" ht="15.75" customHeight="1">
      <c r="A906" s="118"/>
      <c r="B906" s="118"/>
      <c r="C906" s="96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  <c r="AG906" s="118"/>
      <c r="AH906" s="118"/>
    </row>
    <row r="907" ht="15.75" customHeight="1">
      <c r="A907" s="118"/>
      <c r="B907" s="118"/>
      <c r="C907" s="96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  <c r="AG907" s="118"/>
      <c r="AH907" s="118"/>
    </row>
    <row r="908" ht="15.75" customHeight="1">
      <c r="A908" s="118"/>
      <c r="B908" s="118"/>
      <c r="C908" s="96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  <c r="AG908" s="118"/>
      <c r="AH908" s="118"/>
    </row>
    <row r="909" ht="15.75" customHeight="1">
      <c r="A909" s="118"/>
      <c r="B909" s="118"/>
      <c r="C909" s="96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  <c r="AG909" s="118"/>
      <c r="AH909" s="118"/>
    </row>
    <row r="910" ht="15.75" customHeight="1">
      <c r="A910" s="118"/>
      <c r="B910" s="118"/>
      <c r="C910" s="96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  <c r="AG910" s="118"/>
      <c r="AH910" s="118"/>
    </row>
    <row r="911" ht="15.75" customHeight="1">
      <c r="A911" s="118"/>
      <c r="B911" s="118"/>
      <c r="C911" s="96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  <c r="AG911" s="118"/>
      <c r="AH911" s="118"/>
    </row>
    <row r="912" ht="15.75" customHeight="1">
      <c r="A912" s="118"/>
      <c r="B912" s="118"/>
      <c r="C912" s="96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  <c r="AG912" s="118"/>
      <c r="AH912" s="118"/>
    </row>
    <row r="913" ht="15.75" customHeight="1">
      <c r="A913" s="118"/>
      <c r="B913" s="118"/>
      <c r="C913" s="96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  <c r="AG913" s="118"/>
      <c r="AH913" s="118"/>
    </row>
    <row r="914" ht="15.75" customHeight="1">
      <c r="A914" s="118"/>
      <c r="B914" s="118"/>
      <c r="C914" s="96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  <c r="AG914" s="118"/>
      <c r="AH914" s="118"/>
    </row>
    <row r="915" ht="15.75" customHeight="1">
      <c r="A915" s="118"/>
      <c r="B915" s="118"/>
      <c r="C915" s="96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  <c r="AG915" s="118"/>
      <c r="AH915" s="118"/>
    </row>
    <row r="916" ht="15.75" customHeight="1">
      <c r="A916" s="118"/>
      <c r="B916" s="118"/>
      <c r="C916" s="96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  <c r="AG916" s="118"/>
      <c r="AH916" s="118"/>
    </row>
    <row r="917" ht="15.75" customHeight="1">
      <c r="A917" s="118"/>
      <c r="B917" s="118"/>
      <c r="C917" s="96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  <c r="AG917" s="118"/>
      <c r="AH917" s="118"/>
    </row>
    <row r="918" ht="15.75" customHeight="1">
      <c r="A918" s="118"/>
      <c r="B918" s="118"/>
      <c r="C918" s="96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  <c r="AG918" s="118"/>
      <c r="AH918" s="118"/>
    </row>
    <row r="919" ht="15.75" customHeight="1">
      <c r="A919" s="118"/>
      <c r="B919" s="118"/>
      <c r="C919" s="96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  <c r="AG919" s="118"/>
      <c r="AH919" s="118"/>
    </row>
    <row r="920" ht="15.75" customHeight="1">
      <c r="A920" s="118"/>
      <c r="B920" s="118"/>
      <c r="C920" s="96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  <c r="AG920" s="118"/>
      <c r="AH920" s="118"/>
    </row>
    <row r="921" ht="15.75" customHeight="1">
      <c r="A921" s="118"/>
      <c r="B921" s="118"/>
      <c r="C921" s="96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  <c r="AG921" s="118"/>
      <c r="AH921" s="118"/>
    </row>
    <row r="922" ht="15.75" customHeight="1">
      <c r="A922" s="118"/>
      <c r="B922" s="118"/>
      <c r="C922" s="96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  <c r="AG922" s="118"/>
      <c r="AH922" s="118"/>
    </row>
    <row r="923" ht="15.75" customHeight="1">
      <c r="A923" s="118"/>
      <c r="B923" s="118"/>
      <c r="C923" s="96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  <c r="AG923" s="118"/>
      <c r="AH923" s="118"/>
    </row>
    <row r="924" ht="15.75" customHeight="1">
      <c r="A924" s="118"/>
      <c r="B924" s="118"/>
      <c r="C924" s="96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  <c r="AG924" s="118"/>
      <c r="AH924" s="118"/>
    </row>
    <row r="925" ht="15.75" customHeight="1">
      <c r="A925" s="118"/>
      <c r="B925" s="118"/>
      <c r="C925" s="96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  <c r="AG925" s="118"/>
      <c r="AH925" s="118"/>
    </row>
    <row r="926" ht="15.75" customHeight="1">
      <c r="A926" s="118"/>
      <c r="B926" s="118"/>
      <c r="C926" s="96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  <c r="AG926" s="118"/>
      <c r="AH926" s="118"/>
    </row>
    <row r="927" ht="15.75" customHeight="1">
      <c r="A927" s="118"/>
      <c r="B927" s="118"/>
      <c r="C927" s="96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  <c r="AG927" s="118"/>
      <c r="AH927" s="118"/>
    </row>
    <row r="928" ht="15.75" customHeight="1">
      <c r="A928" s="118"/>
      <c r="B928" s="118"/>
      <c r="C928" s="96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  <c r="AF928" s="118"/>
      <c r="AG928" s="118"/>
      <c r="AH928" s="118"/>
    </row>
    <row r="929" ht="15.75" customHeight="1">
      <c r="A929" s="118"/>
      <c r="B929" s="118"/>
      <c r="C929" s="96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  <c r="AF929" s="118"/>
      <c r="AG929" s="118"/>
      <c r="AH929" s="118"/>
    </row>
    <row r="930" ht="15.75" customHeight="1">
      <c r="A930" s="118"/>
      <c r="B930" s="118"/>
      <c r="C930" s="96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  <c r="AF930" s="118"/>
      <c r="AG930" s="118"/>
      <c r="AH930" s="118"/>
    </row>
    <row r="931" ht="15.75" customHeight="1">
      <c r="A931" s="118"/>
      <c r="B931" s="118"/>
      <c r="C931" s="96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  <c r="AF931" s="118"/>
      <c r="AG931" s="118"/>
      <c r="AH931" s="118"/>
    </row>
    <row r="932" ht="15.75" customHeight="1">
      <c r="A932" s="118"/>
      <c r="B932" s="118"/>
      <c r="C932" s="96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  <c r="AF932" s="118"/>
      <c r="AG932" s="118"/>
      <c r="AH932" s="118"/>
    </row>
    <row r="933" ht="15.75" customHeight="1">
      <c r="A933" s="118"/>
      <c r="B933" s="118"/>
      <c r="C933" s="96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  <c r="AF933" s="118"/>
      <c r="AG933" s="118"/>
      <c r="AH933" s="118"/>
    </row>
    <row r="934" ht="15.75" customHeight="1">
      <c r="A934" s="118"/>
      <c r="B934" s="118"/>
      <c r="C934" s="96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  <c r="AF934" s="118"/>
      <c r="AG934" s="118"/>
      <c r="AH934" s="118"/>
    </row>
    <row r="935" ht="15.75" customHeight="1">
      <c r="A935" s="118"/>
      <c r="B935" s="118"/>
      <c r="C935" s="96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  <c r="AF935" s="118"/>
      <c r="AG935" s="118"/>
      <c r="AH935" s="118"/>
    </row>
    <row r="936" ht="15.75" customHeight="1">
      <c r="A936" s="118"/>
      <c r="B936" s="118"/>
      <c r="C936" s="96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  <c r="AF936" s="118"/>
      <c r="AG936" s="118"/>
      <c r="AH936" s="118"/>
    </row>
    <row r="937" ht="15.75" customHeight="1">
      <c r="A937" s="118"/>
      <c r="B937" s="118"/>
      <c r="C937" s="96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  <c r="AF937" s="118"/>
      <c r="AG937" s="118"/>
      <c r="AH937" s="118"/>
    </row>
    <row r="938" ht="15.75" customHeight="1">
      <c r="A938" s="118"/>
      <c r="B938" s="118"/>
      <c r="C938" s="96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  <c r="AF938" s="118"/>
      <c r="AG938" s="118"/>
      <c r="AH938" s="118"/>
    </row>
    <row r="939" ht="15.75" customHeight="1">
      <c r="A939" s="118"/>
      <c r="B939" s="118"/>
      <c r="C939" s="96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  <c r="AF939" s="118"/>
      <c r="AG939" s="118"/>
      <c r="AH939" s="118"/>
    </row>
    <row r="940" ht="15.75" customHeight="1">
      <c r="A940" s="118"/>
      <c r="B940" s="118"/>
      <c r="C940" s="96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  <c r="AF940" s="118"/>
      <c r="AG940" s="118"/>
      <c r="AH940" s="118"/>
    </row>
    <row r="941" ht="15.75" customHeight="1">
      <c r="A941" s="118"/>
      <c r="B941" s="118"/>
      <c r="C941" s="96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  <c r="AF941" s="118"/>
      <c r="AG941" s="118"/>
      <c r="AH941" s="118"/>
    </row>
    <row r="942" ht="15.75" customHeight="1">
      <c r="A942" s="118"/>
      <c r="B942" s="118"/>
      <c r="C942" s="96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  <c r="AF942" s="118"/>
      <c r="AG942" s="118"/>
      <c r="AH942" s="118"/>
    </row>
    <row r="943" ht="15.75" customHeight="1">
      <c r="A943" s="118"/>
      <c r="B943" s="118"/>
      <c r="C943" s="96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  <c r="AF943" s="118"/>
      <c r="AG943" s="118"/>
      <c r="AH943" s="118"/>
    </row>
    <row r="944" ht="15.75" customHeight="1">
      <c r="A944" s="118"/>
      <c r="B944" s="118"/>
      <c r="C944" s="96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  <c r="AG944" s="118"/>
      <c r="AH944" s="118"/>
    </row>
    <row r="945" ht="15.75" customHeight="1">
      <c r="A945" s="118"/>
      <c r="B945" s="118"/>
      <c r="C945" s="96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  <c r="AG945" s="118"/>
      <c r="AH945" s="118"/>
    </row>
    <row r="946" ht="15.75" customHeight="1">
      <c r="A946" s="118"/>
      <c r="B946" s="118"/>
      <c r="C946" s="96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  <c r="AG946" s="118"/>
      <c r="AH946" s="118"/>
    </row>
    <row r="947" ht="15.75" customHeight="1">
      <c r="A947" s="118"/>
      <c r="B947" s="118"/>
      <c r="C947" s="96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  <c r="AG947" s="118"/>
      <c r="AH947" s="118"/>
    </row>
    <row r="948" ht="15.75" customHeight="1">
      <c r="A948" s="118"/>
      <c r="B948" s="118"/>
      <c r="C948" s="96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  <c r="AG948" s="118"/>
      <c r="AH948" s="118"/>
    </row>
    <row r="949" ht="15.75" customHeight="1">
      <c r="A949" s="118"/>
      <c r="B949" s="118"/>
      <c r="C949" s="96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  <c r="AG949" s="118"/>
      <c r="AH949" s="118"/>
    </row>
    <row r="950" ht="15.75" customHeight="1">
      <c r="A950" s="118"/>
      <c r="B950" s="118"/>
      <c r="C950" s="96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  <c r="AG950" s="118"/>
      <c r="AH950" s="118"/>
    </row>
    <row r="951" ht="15.75" customHeight="1">
      <c r="A951" s="118"/>
      <c r="B951" s="118"/>
      <c r="C951" s="96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  <c r="AG951" s="118"/>
      <c r="AH951" s="118"/>
    </row>
    <row r="952" ht="15.75" customHeight="1">
      <c r="A952" s="118"/>
      <c r="B952" s="118"/>
      <c r="C952" s="96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  <c r="AG952" s="118"/>
      <c r="AH952" s="118"/>
    </row>
    <row r="953" ht="15.75" customHeight="1">
      <c r="A953" s="118"/>
      <c r="B953" s="118"/>
      <c r="C953" s="96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  <c r="AG953" s="118"/>
      <c r="AH953" s="118"/>
    </row>
    <row r="954" ht="15.75" customHeight="1">
      <c r="A954" s="118"/>
      <c r="B954" s="118"/>
      <c r="C954" s="96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  <c r="AG954" s="118"/>
      <c r="AH954" s="118"/>
    </row>
    <row r="955" ht="15.75" customHeight="1">
      <c r="A955" s="118"/>
      <c r="B955" s="118"/>
      <c r="C955" s="96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  <c r="AG955" s="118"/>
      <c r="AH955" s="118"/>
    </row>
    <row r="956" ht="15.75" customHeight="1">
      <c r="A956" s="118"/>
      <c r="B956" s="118"/>
      <c r="C956" s="96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  <c r="AG956" s="118"/>
      <c r="AH956" s="118"/>
    </row>
    <row r="957" ht="15.75" customHeight="1">
      <c r="A957" s="118"/>
      <c r="B957" s="118"/>
      <c r="C957" s="96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  <c r="AG957" s="118"/>
      <c r="AH957" s="118"/>
    </row>
    <row r="958" ht="15.75" customHeight="1">
      <c r="A958" s="118"/>
      <c r="B958" s="118"/>
      <c r="C958" s="96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  <c r="AG958" s="118"/>
      <c r="AH958" s="118"/>
    </row>
    <row r="959" ht="15.75" customHeight="1">
      <c r="A959" s="118"/>
      <c r="B959" s="118"/>
      <c r="C959" s="96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  <c r="AG959" s="118"/>
      <c r="AH959" s="118"/>
    </row>
    <row r="960" ht="15.75" customHeight="1">
      <c r="A960" s="118"/>
      <c r="B960" s="118"/>
      <c r="C960" s="96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  <c r="AG960" s="118"/>
      <c r="AH960" s="118"/>
    </row>
    <row r="961" ht="15.75" customHeight="1">
      <c r="A961" s="118"/>
      <c r="B961" s="118"/>
      <c r="C961" s="96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  <c r="AG961" s="118"/>
      <c r="AH961" s="118"/>
    </row>
    <row r="962" ht="15.75" customHeight="1">
      <c r="A962" s="118"/>
      <c r="B962" s="118"/>
      <c r="C962" s="96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  <c r="AG962" s="118"/>
      <c r="AH962" s="118"/>
    </row>
    <row r="963" ht="15.75" customHeight="1">
      <c r="A963" s="118"/>
      <c r="B963" s="118"/>
      <c r="C963" s="96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  <c r="AG963" s="118"/>
      <c r="AH963" s="118"/>
    </row>
    <row r="964" ht="15.75" customHeight="1">
      <c r="A964" s="118"/>
      <c r="B964" s="118"/>
      <c r="C964" s="96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  <c r="AG964" s="118"/>
      <c r="AH964" s="118"/>
    </row>
    <row r="965" ht="15.75" customHeight="1">
      <c r="A965" s="118"/>
      <c r="B965" s="118"/>
      <c r="C965" s="96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  <c r="AG965" s="118"/>
      <c r="AH965" s="118"/>
    </row>
    <row r="966" ht="15.75" customHeight="1">
      <c r="A966" s="118"/>
      <c r="B966" s="118"/>
      <c r="C966" s="96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  <c r="AG966" s="118"/>
      <c r="AH966" s="118"/>
    </row>
    <row r="967" ht="15.75" customHeight="1">
      <c r="A967" s="118"/>
      <c r="B967" s="118"/>
      <c r="C967" s="96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  <c r="AG967" s="118"/>
      <c r="AH967" s="118"/>
    </row>
    <row r="968" ht="15.75" customHeight="1">
      <c r="A968" s="118"/>
      <c r="B968" s="118"/>
      <c r="C968" s="96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  <c r="AG968" s="118"/>
      <c r="AH968" s="118"/>
    </row>
    <row r="969" ht="15.75" customHeight="1">
      <c r="A969" s="118"/>
      <c r="B969" s="118"/>
      <c r="C969" s="96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  <c r="AG969" s="118"/>
      <c r="AH969" s="118"/>
    </row>
    <row r="970" ht="15.75" customHeight="1">
      <c r="A970" s="118"/>
      <c r="B970" s="118"/>
      <c r="C970" s="96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  <c r="AG970" s="118"/>
      <c r="AH970" s="118"/>
    </row>
    <row r="971" ht="15.75" customHeight="1">
      <c r="A971" s="118"/>
      <c r="B971" s="118"/>
      <c r="C971" s="96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  <c r="AG971" s="118"/>
      <c r="AH971" s="118"/>
    </row>
    <row r="972" ht="15.75" customHeight="1">
      <c r="A972" s="118"/>
      <c r="B972" s="118"/>
      <c r="C972" s="96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  <c r="AG972" s="118"/>
      <c r="AH972" s="118"/>
    </row>
    <row r="973" ht="15.75" customHeight="1">
      <c r="A973" s="118"/>
      <c r="B973" s="118"/>
      <c r="C973" s="96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  <c r="AG973" s="118"/>
      <c r="AH973" s="118"/>
    </row>
    <row r="974" ht="15.75" customHeight="1">
      <c r="A974" s="118"/>
      <c r="B974" s="118"/>
      <c r="C974" s="96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  <c r="AG974" s="118"/>
      <c r="AH974" s="118"/>
    </row>
    <row r="975" ht="15.75" customHeight="1">
      <c r="A975" s="118"/>
      <c r="B975" s="118"/>
      <c r="C975" s="96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  <c r="AG975" s="118"/>
      <c r="AH975" s="118"/>
    </row>
    <row r="976" ht="15.75" customHeight="1">
      <c r="A976" s="118"/>
      <c r="B976" s="118"/>
      <c r="C976" s="96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  <c r="AG976" s="118"/>
      <c r="AH976" s="118"/>
    </row>
    <row r="977" ht="15.75" customHeight="1">
      <c r="A977" s="118"/>
      <c r="B977" s="118"/>
      <c r="C977" s="96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  <c r="AG977" s="118"/>
      <c r="AH977" s="118"/>
    </row>
    <row r="978" ht="15.75" customHeight="1">
      <c r="A978" s="118"/>
      <c r="B978" s="118"/>
      <c r="C978" s="96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  <c r="AG978" s="118"/>
      <c r="AH978" s="118"/>
    </row>
    <row r="979" ht="15.75" customHeight="1">
      <c r="A979" s="118"/>
      <c r="B979" s="118"/>
      <c r="C979" s="96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  <c r="AG979" s="118"/>
      <c r="AH979" s="118"/>
    </row>
    <row r="980" ht="15.75" customHeight="1">
      <c r="A980" s="118"/>
      <c r="B980" s="118"/>
      <c r="C980" s="96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  <c r="AG980" s="118"/>
      <c r="AH980" s="118"/>
    </row>
    <row r="981" ht="15.75" customHeight="1">
      <c r="A981" s="118"/>
      <c r="B981" s="118"/>
      <c r="C981" s="96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  <c r="AG981" s="118"/>
      <c r="AH981" s="118"/>
    </row>
    <row r="982" ht="15.75" customHeight="1">
      <c r="A982" s="118"/>
      <c r="B982" s="118"/>
      <c r="C982" s="96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  <c r="AG982" s="118"/>
      <c r="AH982" s="118"/>
    </row>
    <row r="983" ht="15.75" customHeight="1">
      <c r="A983" s="118"/>
      <c r="B983" s="118"/>
      <c r="C983" s="96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  <c r="AG983" s="118"/>
      <c r="AH983" s="118"/>
    </row>
    <row r="984" ht="15.75" customHeight="1">
      <c r="A984" s="118"/>
      <c r="B984" s="118"/>
      <c r="C984" s="96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  <c r="AG984" s="118"/>
      <c r="AH984" s="118"/>
    </row>
    <row r="985" ht="15.75" customHeight="1">
      <c r="A985" s="118"/>
      <c r="B985" s="118"/>
      <c r="C985" s="96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  <c r="AG985" s="118"/>
      <c r="AH985" s="118"/>
    </row>
    <row r="986" ht="15.75" customHeight="1">
      <c r="A986" s="118"/>
      <c r="B986" s="118"/>
      <c r="C986" s="96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  <c r="AG986" s="118"/>
      <c r="AH986" s="118"/>
    </row>
    <row r="987" ht="15.75" customHeight="1">
      <c r="A987" s="118"/>
      <c r="B987" s="118"/>
      <c r="C987" s="96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  <c r="AG987" s="118"/>
      <c r="AH987" s="118"/>
    </row>
    <row r="988" ht="15.75" customHeight="1">
      <c r="A988" s="118"/>
      <c r="B988" s="118"/>
      <c r="C988" s="96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  <c r="AG988" s="118"/>
      <c r="AH988" s="118"/>
    </row>
    <row r="989" ht="15.75" customHeight="1">
      <c r="A989" s="118"/>
      <c r="B989" s="118"/>
      <c r="C989" s="96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  <c r="AF989" s="118"/>
      <c r="AG989" s="118"/>
      <c r="AH989" s="118"/>
    </row>
    <row r="990" ht="15.75" customHeight="1">
      <c r="A990" s="118"/>
      <c r="B990" s="118"/>
      <c r="C990" s="96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  <c r="AG990" s="118"/>
      <c r="AH990" s="118"/>
    </row>
    <row r="991" ht="15.75" customHeight="1">
      <c r="A991" s="118"/>
      <c r="B991" s="118"/>
      <c r="C991" s="96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  <c r="AF991" s="118"/>
      <c r="AG991" s="118"/>
      <c r="AH991" s="118"/>
    </row>
    <row r="992" ht="15.75" customHeight="1">
      <c r="A992" s="118"/>
      <c r="B992" s="118"/>
      <c r="C992" s="96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  <c r="AF992" s="118"/>
      <c r="AG992" s="118"/>
      <c r="AH992" s="118"/>
    </row>
    <row r="993" ht="15.75" customHeight="1">
      <c r="A993" s="118"/>
      <c r="B993" s="118"/>
      <c r="C993" s="96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  <c r="AF993" s="118"/>
      <c r="AG993" s="118"/>
      <c r="AH993" s="118"/>
    </row>
    <row r="994" ht="15.75" customHeight="1">
      <c r="A994" s="118"/>
      <c r="B994" s="118"/>
      <c r="C994" s="96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  <c r="AF994" s="118"/>
      <c r="AG994" s="118"/>
      <c r="AH994" s="118"/>
    </row>
    <row r="995" ht="15.75" customHeight="1">
      <c r="A995" s="118"/>
      <c r="B995" s="118"/>
      <c r="C995" s="96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  <c r="AF995" s="118"/>
      <c r="AG995" s="118"/>
      <c r="AH995" s="118"/>
    </row>
    <row r="996" ht="15.75" customHeight="1">
      <c r="A996" s="118"/>
      <c r="B996" s="118"/>
      <c r="C996" s="96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  <c r="AF996" s="118"/>
      <c r="AG996" s="118"/>
      <c r="AH996" s="118"/>
    </row>
    <row r="997" ht="15.75" customHeight="1">
      <c r="A997" s="118"/>
      <c r="B997" s="118"/>
      <c r="C997" s="96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  <c r="AF997" s="118"/>
      <c r="AG997" s="118"/>
      <c r="AH997" s="118"/>
    </row>
    <row r="998" ht="15.75" customHeight="1">
      <c r="A998" s="118"/>
      <c r="B998" s="118"/>
      <c r="C998" s="96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  <c r="AF998" s="118"/>
      <c r="AG998" s="118"/>
      <c r="AH998" s="118"/>
    </row>
    <row r="999" ht="15.75" customHeight="1">
      <c r="A999" s="118"/>
      <c r="B999" s="118"/>
      <c r="C999" s="96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  <c r="AE999" s="118"/>
      <c r="AF999" s="118"/>
      <c r="AG999" s="118"/>
      <c r="AH999" s="118"/>
    </row>
    <row r="1000" ht="15.75" customHeight="1">
      <c r="A1000" s="118"/>
      <c r="B1000" s="118"/>
      <c r="C1000" s="96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18"/>
      <c r="AC1000" s="118"/>
      <c r="AD1000" s="118"/>
      <c r="AE1000" s="118"/>
      <c r="AF1000" s="118"/>
      <c r="AG1000" s="118"/>
      <c r="AH1000" s="118"/>
    </row>
    <row r="1001" ht="15.75" customHeight="1">
      <c r="A1001" s="118"/>
      <c r="B1001" s="118"/>
      <c r="C1001" s="96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  <c r="AA1001" s="118"/>
      <c r="AB1001" s="118"/>
      <c r="AC1001" s="118"/>
      <c r="AD1001" s="118"/>
      <c r="AE1001" s="118"/>
      <c r="AF1001" s="118"/>
      <c r="AG1001" s="118"/>
      <c r="AH1001" s="118"/>
    </row>
    <row r="1002" ht="15.75" customHeight="1">
      <c r="A1002" s="118"/>
      <c r="B1002" s="118"/>
      <c r="C1002" s="96"/>
      <c r="D1002" s="118"/>
      <c r="E1002" s="118"/>
      <c r="F1002" s="118"/>
      <c r="G1002" s="118"/>
      <c r="H1002" s="118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  <c r="AA1002" s="118"/>
      <c r="AB1002" s="118"/>
      <c r="AC1002" s="118"/>
      <c r="AD1002" s="118"/>
      <c r="AE1002" s="118"/>
      <c r="AF1002" s="118"/>
      <c r="AG1002" s="118"/>
      <c r="AH1002" s="118"/>
    </row>
    <row r="1003" ht="15.75" customHeight="1">
      <c r="A1003" s="118"/>
      <c r="B1003" s="118"/>
      <c r="C1003" s="96"/>
      <c r="D1003" s="118"/>
      <c r="E1003" s="118"/>
      <c r="F1003" s="118"/>
      <c r="G1003" s="118"/>
      <c r="H1003" s="118"/>
      <c r="I1003" s="118"/>
      <c r="J1003" s="118"/>
      <c r="K1003" s="118"/>
      <c r="L1003" s="118"/>
      <c r="M1003" s="118"/>
      <c r="N1003" s="118"/>
      <c r="O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  <c r="Y1003" s="118"/>
      <c r="Z1003" s="118"/>
      <c r="AA1003" s="118"/>
      <c r="AB1003" s="118"/>
      <c r="AC1003" s="118"/>
      <c r="AD1003" s="118"/>
      <c r="AE1003" s="118"/>
      <c r="AF1003" s="118"/>
      <c r="AG1003" s="118"/>
      <c r="AH1003" s="118"/>
    </row>
  </sheetData>
  <mergeCells count="24">
    <mergeCell ref="B1:J1"/>
    <mergeCell ref="K1:M1"/>
    <mergeCell ref="S2:T2"/>
    <mergeCell ref="S3:T3"/>
    <mergeCell ref="S4:T4"/>
    <mergeCell ref="S5:T5"/>
    <mergeCell ref="S6:T6"/>
    <mergeCell ref="S7:T7"/>
    <mergeCell ref="S8:T8"/>
    <mergeCell ref="S10:T10"/>
    <mergeCell ref="S11:T11"/>
    <mergeCell ref="S12:T12"/>
    <mergeCell ref="S13:T13"/>
    <mergeCell ref="S14:T14"/>
    <mergeCell ref="S23:T23"/>
    <mergeCell ref="S24:T24"/>
    <mergeCell ref="Q28:T28"/>
    <mergeCell ref="S15:T15"/>
    <mergeCell ref="S16:T16"/>
    <mergeCell ref="S17:T17"/>
    <mergeCell ref="S18:T18"/>
    <mergeCell ref="Q20:T20"/>
    <mergeCell ref="S21:T21"/>
    <mergeCell ref="S22:T22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1.43"/>
    <col customWidth="1" min="2" max="2" width="14.71"/>
    <col customWidth="1" min="3" max="3" width="19.71"/>
    <col customWidth="1" min="4" max="4" width="34.57"/>
    <col customWidth="1" min="5" max="5" width="13.29"/>
    <col customWidth="1" min="6" max="6" width="7.43"/>
    <col customWidth="1" min="7" max="7" width="13.29"/>
    <col customWidth="1" min="8" max="8" width="13.71"/>
    <col customWidth="1" min="9" max="9" width="5.86"/>
    <col customWidth="1" min="10" max="10" width="12.71"/>
    <col customWidth="1" min="11" max="11" width="7.86"/>
    <col customWidth="1" min="12" max="12" width="6.57"/>
    <col customWidth="1" min="13" max="13" width="8.43"/>
    <col customWidth="1" min="14" max="14" width="8.71"/>
    <col customWidth="1" min="15" max="15" width="8.29"/>
    <col customWidth="1" min="16" max="17" width="15.71"/>
    <col customWidth="1" min="18" max="18" width="8.86"/>
    <col customWidth="1" min="19" max="19" width="12.57"/>
    <col customWidth="1" min="20" max="33" width="8.86"/>
  </cols>
  <sheetData>
    <row r="1" ht="40.5" customHeight="1">
      <c r="A1" s="1"/>
      <c r="B1" s="2" t="s">
        <v>598</v>
      </c>
      <c r="C1" s="3"/>
      <c r="D1" s="3"/>
      <c r="E1" s="3"/>
      <c r="F1" s="3"/>
      <c r="G1" s="3"/>
      <c r="H1" s="3"/>
      <c r="I1" s="3"/>
      <c r="J1" s="4"/>
      <c r="K1" s="5" t="s">
        <v>1</v>
      </c>
      <c r="L1" s="3"/>
      <c r="M1" s="4"/>
      <c r="N1" s="311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</row>
    <row r="2" ht="37.5" customHeight="1">
      <c r="A2" s="8" t="s">
        <v>2</v>
      </c>
      <c r="B2" s="11" t="s">
        <v>3</v>
      </c>
      <c r="C2" s="12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3" t="s">
        <v>12</v>
      </c>
      <c r="L2" s="13" t="s">
        <v>13</v>
      </c>
      <c r="M2" s="13" t="s">
        <v>14</v>
      </c>
      <c r="N2" s="14" t="s">
        <v>15</v>
      </c>
      <c r="O2" s="312" t="s">
        <v>16</v>
      </c>
      <c r="P2" s="313" t="s">
        <v>599</v>
      </c>
      <c r="Q2" s="123" t="s">
        <v>17</v>
      </c>
      <c r="R2" s="124" t="s">
        <v>18</v>
      </c>
      <c r="S2" s="53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</row>
    <row r="3" outlineLevel="1">
      <c r="A3" s="106" t="b">
        <v>0</v>
      </c>
      <c r="B3" s="181" t="s">
        <v>600</v>
      </c>
      <c r="C3" s="182" t="s">
        <v>20</v>
      </c>
      <c r="D3" s="181" t="s">
        <v>21</v>
      </c>
      <c r="E3" s="181">
        <v>2.5</v>
      </c>
      <c r="F3" s="181">
        <v>1.0</v>
      </c>
      <c r="G3" s="181" t="s">
        <v>223</v>
      </c>
      <c r="H3" s="181" t="s">
        <v>23</v>
      </c>
      <c r="I3" s="181" t="s">
        <v>23</v>
      </c>
      <c r="J3" s="314" t="s">
        <v>46</v>
      </c>
      <c r="K3" s="106" t="b">
        <v>0</v>
      </c>
      <c r="L3" s="106" t="b">
        <v>0</v>
      </c>
      <c r="M3" s="106" t="b">
        <v>0</v>
      </c>
      <c r="N3" s="106" t="b">
        <v>0</v>
      </c>
      <c r="O3" s="315" t="b">
        <v>0</v>
      </c>
      <c r="P3" s="182" t="s">
        <v>601</v>
      </c>
      <c r="Q3" s="181" t="s">
        <v>27</v>
      </c>
      <c r="R3" s="186" t="s">
        <v>28</v>
      </c>
      <c r="S3" s="33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</row>
    <row r="4" outlineLevel="1">
      <c r="A4" s="19" t="b">
        <v>0</v>
      </c>
      <c r="B4" s="126" t="s">
        <v>602</v>
      </c>
      <c r="C4" s="126" t="s">
        <v>20</v>
      </c>
      <c r="D4" s="126" t="s">
        <v>21</v>
      </c>
      <c r="E4" s="126">
        <v>1.0</v>
      </c>
      <c r="F4" s="126">
        <v>1.0</v>
      </c>
      <c r="G4" s="126" t="s">
        <v>22</v>
      </c>
      <c r="H4" s="126" t="s">
        <v>23</v>
      </c>
      <c r="I4" s="126" t="s">
        <v>23</v>
      </c>
      <c r="J4" s="316">
        <v>45855.0</v>
      </c>
      <c r="K4" s="19" t="b">
        <v>1</v>
      </c>
      <c r="L4" s="19" t="b">
        <v>0</v>
      </c>
      <c r="M4" s="19" t="b">
        <v>1</v>
      </c>
      <c r="N4" s="19" t="b">
        <v>1</v>
      </c>
      <c r="O4" s="19" t="b">
        <v>0</v>
      </c>
      <c r="P4" s="125"/>
      <c r="Q4" s="125"/>
      <c r="R4" s="125"/>
      <c r="S4" s="125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</row>
    <row r="5" outlineLevel="1">
      <c r="A5" s="19" t="b">
        <v>0</v>
      </c>
      <c r="B5" s="34" t="s">
        <v>603</v>
      </c>
      <c r="C5" s="35" t="s">
        <v>77</v>
      </c>
      <c r="D5" s="34" t="s">
        <v>21</v>
      </c>
      <c r="E5" s="34">
        <v>2.0</v>
      </c>
      <c r="F5" s="34">
        <v>1.0</v>
      </c>
      <c r="G5" s="34" t="s">
        <v>22</v>
      </c>
      <c r="H5" s="34" t="s">
        <v>23</v>
      </c>
      <c r="I5" s="34" t="s">
        <v>23</v>
      </c>
      <c r="J5" s="149">
        <v>45849.0</v>
      </c>
      <c r="K5" s="19" t="b">
        <v>1</v>
      </c>
      <c r="L5" s="19" t="b">
        <v>0</v>
      </c>
      <c r="M5" s="19" t="b">
        <v>1</v>
      </c>
      <c r="N5" s="19" t="b">
        <v>1</v>
      </c>
      <c r="O5" s="19" t="b">
        <v>0</v>
      </c>
      <c r="P5" s="34"/>
      <c r="Q5" s="34" t="s">
        <v>128</v>
      </c>
      <c r="R5" s="129" t="s">
        <v>141</v>
      </c>
      <c r="S5" s="39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</row>
    <row r="6" outlineLevel="1">
      <c r="A6" s="19" t="b">
        <v>0</v>
      </c>
      <c r="B6" s="140" t="s">
        <v>604</v>
      </c>
      <c r="C6" s="86" t="s">
        <v>20</v>
      </c>
      <c r="D6" s="140" t="s">
        <v>21</v>
      </c>
      <c r="E6" s="140">
        <v>6.0</v>
      </c>
      <c r="F6" s="140">
        <v>2.0</v>
      </c>
      <c r="G6" s="140" t="s">
        <v>58</v>
      </c>
      <c r="H6" s="140" t="s">
        <v>23</v>
      </c>
      <c r="I6" s="140" t="s">
        <v>23</v>
      </c>
      <c r="J6" s="213" t="s">
        <v>46</v>
      </c>
      <c r="K6" s="19" t="b">
        <v>1</v>
      </c>
      <c r="L6" s="19" t="b">
        <v>1</v>
      </c>
      <c r="M6" s="19" t="b">
        <v>1</v>
      </c>
      <c r="N6" s="19" t="b">
        <v>1</v>
      </c>
      <c r="O6" s="19" t="b">
        <v>1</v>
      </c>
      <c r="P6" s="34"/>
      <c r="Q6" s="34" t="s">
        <v>34</v>
      </c>
      <c r="R6" s="129" t="s">
        <v>35</v>
      </c>
      <c r="S6" s="39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</row>
    <row r="7" outlineLevel="1">
      <c r="A7" s="106" t="b">
        <v>0</v>
      </c>
      <c r="B7" s="140" t="s">
        <v>605</v>
      </c>
      <c r="C7" s="86" t="s">
        <v>20</v>
      </c>
      <c r="D7" s="140" t="s">
        <v>21</v>
      </c>
      <c r="E7" s="140">
        <v>1.0</v>
      </c>
      <c r="F7" s="140">
        <v>1.0</v>
      </c>
      <c r="G7" s="140" t="s">
        <v>22</v>
      </c>
      <c r="H7" s="140" t="s">
        <v>23</v>
      </c>
      <c r="I7" s="140" t="s">
        <v>23</v>
      </c>
      <c r="J7" s="213" t="s">
        <v>46</v>
      </c>
      <c r="K7" s="106" t="b">
        <v>0</v>
      </c>
      <c r="L7" s="106" t="b">
        <v>0</v>
      </c>
      <c r="M7" s="106" t="b">
        <v>0</v>
      </c>
      <c r="N7" s="106" t="b">
        <v>0</v>
      </c>
      <c r="O7" s="106" t="b">
        <v>0</v>
      </c>
      <c r="P7" s="140"/>
      <c r="Q7" s="140" t="s">
        <v>39</v>
      </c>
      <c r="R7" s="189" t="s">
        <v>40</v>
      </c>
      <c r="S7" s="39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</row>
    <row r="8" outlineLevel="1">
      <c r="A8" s="19" t="b">
        <v>0</v>
      </c>
      <c r="B8" s="34" t="s">
        <v>606</v>
      </c>
      <c r="C8" s="35" t="s">
        <v>20</v>
      </c>
      <c r="D8" s="34" t="s">
        <v>21</v>
      </c>
      <c r="E8" s="34">
        <v>2.0</v>
      </c>
      <c r="F8" s="34">
        <v>1.0</v>
      </c>
      <c r="G8" s="34" t="s">
        <v>70</v>
      </c>
      <c r="H8" s="34" t="s">
        <v>23</v>
      </c>
      <c r="I8" s="34" t="s">
        <v>23</v>
      </c>
      <c r="J8" s="149">
        <v>45861.0</v>
      </c>
      <c r="K8" s="19" t="b">
        <v>1</v>
      </c>
      <c r="L8" s="19" t="b">
        <v>1</v>
      </c>
      <c r="M8" s="19" t="b">
        <v>1</v>
      </c>
      <c r="N8" s="19" t="b">
        <v>1</v>
      </c>
      <c r="O8" s="19" t="b">
        <v>1</v>
      </c>
      <c r="P8" s="50" t="s">
        <v>601</v>
      </c>
      <c r="Q8" s="34" t="s">
        <v>42</v>
      </c>
      <c r="R8" s="129" t="s">
        <v>43</v>
      </c>
      <c r="S8" s="39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</row>
    <row r="9" outlineLevel="1">
      <c r="A9" s="106" t="b">
        <v>0</v>
      </c>
      <c r="B9" s="140" t="s">
        <v>607</v>
      </c>
      <c r="C9" s="86" t="s">
        <v>20</v>
      </c>
      <c r="D9" s="86" t="s">
        <v>21</v>
      </c>
      <c r="E9" s="86">
        <v>8.0</v>
      </c>
      <c r="F9" s="140">
        <v>2.0</v>
      </c>
      <c r="G9" s="86" t="s">
        <v>608</v>
      </c>
      <c r="H9" s="140" t="s">
        <v>31</v>
      </c>
      <c r="I9" s="140" t="s">
        <v>23</v>
      </c>
      <c r="J9" s="213" t="s">
        <v>46</v>
      </c>
      <c r="K9" s="106" t="b">
        <v>1</v>
      </c>
      <c r="L9" s="106" t="b">
        <v>1</v>
      </c>
      <c r="M9" s="106" t="b">
        <v>1</v>
      </c>
      <c r="N9" s="106" t="b">
        <v>1</v>
      </c>
      <c r="O9" s="106" t="b">
        <v>1</v>
      </c>
      <c r="P9" s="175"/>
      <c r="Q9" s="317" t="s">
        <v>47</v>
      </c>
      <c r="R9" s="318" t="s">
        <v>48</v>
      </c>
      <c r="S9" s="39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</row>
    <row r="10" outlineLevel="1">
      <c r="A10" s="19" t="b">
        <v>0</v>
      </c>
      <c r="B10" s="34" t="s">
        <v>609</v>
      </c>
      <c r="C10" s="35" t="s">
        <v>195</v>
      </c>
      <c r="D10" s="35" t="s">
        <v>610</v>
      </c>
      <c r="E10" s="34">
        <v>1.5</v>
      </c>
      <c r="F10" s="34">
        <v>1.0</v>
      </c>
      <c r="G10" s="34" t="s">
        <v>42</v>
      </c>
      <c r="H10" s="35" t="s">
        <v>31</v>
      </c>
      <c r="I10" s="34" t="s">
        <v>23</v>
      </c>
      <c r="J10" s="48" t="s">
        <v>611</v>
      </c>
      <c r="K10" s="19" t="b">
        <v>0</v>
      </c>
      <c r="L10" s="19" t="b">
        <v>0</v>
      </c>
      <c r="M10" s="19" t="b">
        <v>0</v>
      </c>
      <c r="N10" s="19" t="b">
        <v>0</v>
      </c>
      <c r="O10" s="19" t="b">
        <v>0</v>
      </c>
      <c r="P10" s="132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</row>
    <row r="11" outlineLevel="1">
      <c r="A11" s="19" t="b">
        <v>1</v>
      </c>
      <c r="B11" s="34" t="s">
        <v>612</v>
      </c>
      <c r="C11" s="319" t="s">
        <v>613</v>
      </c>
      <c r="D11" s="319" t="s">
        <v>614</v>
      </c>
      <c r="E11" s="35">
        <v>2.0</v>
      </c>
      <c r="F11" s="34">
        <v>2.0</v>
      </c>
      <c r="G11" s="34" t="s">
        <v>22</v>
      </c>
      <c r="H11" s="34" t="s">
        <v>31</v>
      </c>
      <c r="I11" s="34" t="s">
        <v>23</v>
      </c>
      <c r="J11" s="149">
        <v>45889.0</v>
      </c>
      <c r="K11" s="19" t="b">
        <v>1</v>
      </c>
      <c r="L11" s="19" t="b">
        <v>0</v>
      </c>
      <c r="M11" s="19" t="b">
        <v>1</v>
      </c>
      <c r="N11" s="19" t="b">
        <v>1</v>
      </c>
      <c r="O11" s="19" t="b">
        <v>0</v>
      </c>
      <c r="P11" s="60"/>
      <c r="Q11" s="16" t="s">
        <v>154</v>
      </c>
      <c r="R11" s="17" t="s">
        <v>52</v>
      </c>
      <c r="S11" s="53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</row>
    <row r="12" ht="32.25" customHeight="1" outlineLevel="1">
      <c r="A12" s="19" t="b">
        <v>0</v>
      </c>
      <c r="B12" s="34" t="s">
        <v>615</v>
      </c>
      <c r="C12" s="35" t="s">
        <v>20</v>
      </c>
      <c r="D12" s="34" t="s">
        <v>21</v>
      </c>
      <c r="E12" s="35">
        <v>8.0</v>
      </c>
      <c r="F12" s="34">
        <v>2.0</v>
      </c>
      <c r="G12" s="34" t="s">
        <v>45</v>
      </c>
      <c r="H12" s="34" t="s">
        <v>31</v>
      </c>
      <c r="I12" s="34" t="s">
        <v>31</v>
      </c>
      <c r="J12" s="40" t="s">
        <v>616</v>
      </c>
      <c r="K12" s="19" t="b">
        <v>1</v>
      </c>
      <c r="L12" s="19" t="b">
        <v>1</v>
      </c>
      <c r="M12" s="19" t="b">
        <v>1</v>
      </c>
      <c r="N12" s="19" t="b">
        <v>1</v>
      </c>
      <c r="O12" s="19" t="b">
        <v>1</v>
      </c>
      <c r="P12" s="135"/>
      <c r="Q12" s="60" t="s">
        <v>57</v>
      </c>
      <c r="R12" s="61" t="s">
        <v>58</v>
      </c>
      <c r="S12" s="33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</row>
    <row r="13" ht="34.5" customHeight="1" outlineLevel="1">
      <c r="A13" s="106" t="b">
        <v>0</v>
      </c>
      <c r="B13" s="140" t="s">
        <v>617</v>
      </c>
      <c r="C13" s="86" t="s">
        <v>77</v>
      </c>
      <c r="D13" s="140" t="s">
        <v>21</v>
      </c>
      <c r="E13" s="140">
        <v>16.0</v>
      </c>
      <c r="F13" s="140">
        <v>2.0</v>
      </c>
      <c r="G13" s="140" t="s">
        <v>45</v>
      </c>
      <c r="H13" s="140" t="s">
        <v>23</v>
      </c>
      <c r="I13" s="140" t="s">
        <v>31</v>
      </c>
      <c r="J13" s="213" t="s">
        <v>46</v>
      </c>
      <c r="K13" s="106" t="b">
        <v>0</v>
      </c>
      <c r="L13" s="106" t="b">
        <v>0</v>
      </c>
      <c r="M13" s="106" t="b">
        <v>0</v>
      </c>
      <c r="N13" s="106" t="b">
        <v>0</v>
      </c>
      <c r="O13" s="106" t="b">
        <v>0</v>
      </c>
      <c r="P13" s="320" t="s">
        <v>618</v>
      </c>
      <c r="Q13" s="321" t="s">
        <v>334</v>
      </c>
      <c r="R13" s="322" t="s">
        <v>335</v>
      </c>
      <c r="S13" s="39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</row>
    <row r="14" ht="30.75" customHeight="1" outlineLevel="1">
      <c r="A14" s="19" t="b">
        <v>0</v>
      </c>
      <c r="B14" s="34" t="s">
        <v>619</v>
      </c>
      <c r="C14" s="35" t="s">
        <v>20</v>
      </c>
      <c r="D14" s="34" t="s">
        <v>21</v>
      </c>
      <c r="E14" s="34">
        <v>16.0</v>
      </c>
      <c r="F14" s="34">
        <v>2.0</v>
      </c>
      <c r="G14" s="34" t="s">
        <v>45</v>
      </c>
      <c r="H14" s="34" t="s">
        <v>31</v>
      </c>
      <c r="I14" s="34" t="s">
        <v>31</v>
      </c>
      <c r="J14" s="40" t="s">
        <v>620</v>
      </c>
      <c r="K14" s="19" t="b">
        <v>1</v>
      </c>
      <c r="L14" s="19" t="b">
        <v>1</v>
      </c>
      <c r="M14" s="19" t="b">
        <v>1</v>
      </c>
      <c r="N14" s="19" t="b">
        <v>1</v>
      </c>
      <c r="O14" s="59" t="b">
        <v>1</v>
      </c>
      <c r="P14" s="65"/>
      <c r="Q14" s="65" t="s">
        <v>62</v>
      </c>
      <c r="R14" s="66" t="s">
        <v>58</v>
      </c>
      <c r="S14" s="33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</row>
    <row r="15" outlineLevel="1">
      <c r="A15" s="19" t="b">
        <v>0</v>
      </c>
      <c r="B15" s="35" t="s">
        <v>621</v>
      </c>
      <c r="C15" s="35" t="s">
        <v>20</v>
      </c>
      <c r="D15" s="35" t="s">
        <v>21</v>
      </c>
      <c r="E15" s="35">
        <v>5.0</v>
      </c>
      <c r="F15" s="35">
        <v>2.0</v>
      </c>
      <c r="G15" s="35" t="s">
        <v>357</v>
      </c>
      <c r="H15" s="35" t="s">
        <v>23</v>
      </c>
      <c r="I15" s="35" t="s">
        <v>31</v>
      </c>
      <c r="J15" s="40" t="s">
        <v>486</v>
      </c>
      <c r="K15" s="19" t="b">
        <v>1</v>
      </c>
      <c r="L15" s="19" t="b">
        <v>1</v>
      </c>
      <c r="M15" s="19" t="b">
        <v>1</v>
      </c>
      <c r="N15" s="19" t="b">
        <v>1</v>
      </c>
      <c r="O15" s="19" t="b">
        <v>1</v>
      </c>
      <c r="P15" s="192"/>
      <c r="Q15" s="65" t="s">
        <v>66</v>
      </c>
      <c r="R15" s="69" t="s">
        <v>67</v>
      </c>
      <c r="S15" s="39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</row>
    <row r="16" outlineLevel="1">
      <c r="A16" s="19" t="b">
        <v>0</v>
      </c>
      <c r="B16" s="34" t="s">
        <v>622</v>
      </c>
      <c r="C16" s="35" t="s">
        <v>20</v>
      </c>
      <c r="D16" s="35" t="s">
        <v>623</v>
      </c>
      <c r="E16" s="35">
        <v>16.0</v>
      </c>
      <c r="F16" s="35">
        <v>2.0</v>
      </c>
      <c r="G16" s="34" t="s">
        <v>45</v>
      </c>
      <c r="H16" s="34" t="s">
        <v>31</v>
      </c>
      <c r="I16" s="34" t="s">
        <v>31</v>
      </c>
      <c r="J16" s="149">
        <v>45860.0</v>
      </c>
      <c r="K16" s="19" t="b">
        <v>1</v>
      </c>
      <c r="L16" s="19" t="b">
        <v>1</v>
      </c>
      <c r="M16" s="19" t="b">
        <v>1</v>
      </c>
      <c r="N16" s="19" t="b">
        <v>1</v>
      </c>
      <c r="O16" s="19" t="b">
        <v>1</v>
      </c>
      <c r="P16" s="65"/>
      <c r="Q16" s="192" t="s">
        <v>343</v>
      </c>
      <c r="R16" s="193" t="s">
        <v>58</v>
      </c>
      <c r="S16" s="39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</row>
    <row r="17" outlineLevel="1">
      <c r="A17" s="19" t="b">
        <v>0</v>
      </c>
      <c r="B17" s="34" t="s">
        <v>624</v>
      </c>
      <c r="C17" s="35" t="s">
        <v>20</v>
      </c>
      <c r="D17" s="34" t="s">
        <v>21</v>
      </c>
      <c r="E17" s="34">
        <v>2.0</v>
      </c>
      <c r="F17" s="34">
        <v>1.0</v>
      </c>
      <c r="G17" s="34" t="s">
        <v>264</v>
      </c>
      <c r="H17" s="34" t="s">
        <v>23</v>
      </c>
      <c r="I17" s="34" t="s">
        <v>23</v>
      </c>
      <c r="J17" s="149">
        <v>45845.0</v>
      </c>
      <c r="K17" s="19" t="b">
        <v>1</v>
      </c>
      <c r="L17" s="19" t="b">
        <v>1</v>
      </c>
      <c r="M17" s="19" t="b">
        <v>1</v>
      </c>
      <c r="N17" s="19" t="b">
        <v>1</v>
      </c>
      <c r="O17" s="19" t="b">
        <v>1</v>
      </c>
      <c r="P17" s="150" t="s">
        <v>625</v>
      </c>
      <c r="Q17" s="65" t="s">
        <v>345</v>
      </c>
      <c r="R17" s="193" t="s">
        <v>346</v>
      </c>
      <c r="S17" s="39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</row>
    <row r="18" ht="15.0" customHeight="1" outlineLevel="1">
      <c r="A18" s="19" t="b">
        <v>0</v>
      </c>
      <c r="B18" s="34" t="s">
        <v>626</v>
      </c>
      <c r="C18" s="35" t="s">
        <v>20</v>
      </c>
      <c r="D18" s="34" t="s">
        <v>21</v>
      </c>
      <c r="E18" s="34">
        <v>2.0</v>
      </c>
      <c r="F18" s="34">
        <v>2.0</v>
      </c>
      <c r="G18" s="34" t="s">
        <v>113</v>
      </c>
      <c r="H18" s="34" t="s">
        <v>23</v>
      </c>
      <c r="I18" s="34" t="s">
        <v>31</v>
      </c>
      <c r="J18" s="149">
        <v>45868.0</v>
      </c>
      <c r="K18" s="19" t="b">
        <v>1</v>
      </c>
      <c r="L18" s="19" t="b">
        <v>1</v>
      </c>
      <c r="M18" s="19" t="b">
        <v>1</v>
      </c>
      <c r="N18" s="19" t="b">
        <v>1</v>
      </c>
      <c r="O18" s="19" t="b">
        <v>1</v>
      </c>
      <c r="P18" s="135"/>
      <c r="Q18" s="65" t="s">
        <v>71</v>
      </c>
      <c r="R18" s="72" t="s">
        <v>58</v>
      </c>
      <c r="S18" s="39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</row>
    <row r="19" outlineLevel="1">
      <c r="A19" s="19" t="b">
        <v>0</v>
      </c>
      <c r="B19" s="34" t="s">
        <v>627</v>
      </c>
      <c r="C19" s="35" t="s">
        <v>628</v>
      </c>
      <c r="D19" s="34" t="s">
        <v>21</v>
      </c>
      <c r="E19" s="34">
        <v>3.0</v>
      </c>
      <c r="F19" s="34">
        <v>2.0</v>
      </c>
      <c r="G19" s="34" t="s">
        <v>58</v>
      </c>
      <c r="H19" s="34" t="s">
        <v>23</v>
      </c>
      <c r="I19" s="34" t="s">
        <v>23</v>
      </c>
      <c r="J19" s="149">
        <v>45877.0</v>
      </c>
      <c r="K19" s="19" t="b">
        <v>1</v>
      </c>
      <c r="L19" s="19" t="b">
        <v>1</v>
      </c>
      <c r="M19" s="19" t="b">
        <v>1</v>
      </c>
      <c r="N19" s="19" t="b">
        <v>1</v>
      </c>
      <c r="O19" s="19" t="b">
        <v>1</v>
      </c>
      <c r="P19" s="135"/>
      <c r="Q19" s="135"/>
      <c r="R19" s="137"/>
      <c r="S19" s="39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</row>
    <row r="20" outlineLevel="1">
      <c r="A20" s="19" t="b">
        <v>1</v>
      </c>
      <c r="B20" s="34" t="s">
        <v>629</v>
      </c>
      <c r="C20" s="35" t="s">
        <v>20</v>
      </c>
      <c r="D20" s="34" t="s">
        <v>630</v>
      </c>
      <c r="E20" s="34">
        <v>3.5</v>
      </c>
      <c r="F20" s="34">
        <v>2.0</v>
      </c>
      <c r="G20" s="34" t="s">
        <v>558</v>
      </c>
      <c r="H20" s="34" t="s">
        <v>23</v>
      </c>
      <c r="I20" s="34" t="s">
        <v>31</v>
      </c>
      <c r="J20" s="149">
        <v>45880.0</v>
      </c>
      <c r="K20" s="19" t="b">
        <v>1</v>
      </c>
      <c r="L20" s="19" t="b">
        <v>0</v>
      </c>
      <c r="M20" s="19" t="b">
        <v>0</v>
      </c>
      <c r="N20" s="19" t="b">
        <v>0</v>
      </c>
      <c r="O20" s="59" t="b">
        <v>0</v>
      </c>
      <c r="P20" s="118"/>
      <c r="Q20" s="135"/>
      <c r="R20" s="137"/>
      <c r="S20" s="39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</row>
    <row r="21" outlineLevel="1">
      <c r="A21" s="19" t="b">
        <v>0</v>
      </c>
      <c r="B21" s="34" t="s">
        <v>631</v>
      </c>
      <c r="C21" s="35" t="s">
        <v>195</v>
      </c>
      <c r="D21" s="34" t="s">
        <v>21</v>
      </c>
      <c r="E21" s="34">
        <v>2.0</v>
      </c>
      <c r="F21" s="34">
        <v>1.0</v>
      </c>
      <c r="G21" s="34" t="s">
        <v>128</v>
      </c>
      <c r="H21" s="34" t="s">
        <v>23</v>
      </c>
      <c r="I21" s="34" t="s">
        <v>23</v>
      </c>
      <c r="J21" s="149">
        <v>45869.0</v>
      </c>
      <c r="K21" s="19" t="b">
        <v>1</v>
      </c>
      <c r="L21" s="19" t="b">
        <v>1</v>
      </c>
      <c r="M21" s="19" t="b">
        <v>1</v>
      </c>
      <c r="N21" s="19" t="b">
        <v>1</v>
      </c>
      <c r="O21" s="59" t="b">
        <v>1</v>
      </c>
      <c r="P21" s="323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</row>
    <row r="22" outlineLevel="1">
      <c r="A22" s="19" t="b">
        <v>0</v>
      </c>
      <c r="B22" s="34" t="s">
        <v>632</v>
      </c>
      <c r="C22" s="35" t="s">
        <v>77</v>
      </c>
      <c r="D22" s="34" t="s">
        <v>21</v>
      </c>
      <c r="E22" s="34">
        <v>1.0</v>
      </c>
      <c r="F22" s="34">
        <v>1.0</v>
      </c>
      <c r="G22" s="34" t="s">
        <v>22</v>
      </c>
      <c r="H22" s="34" t="s">
        <v>23</v>
      </c>
      <c r="I22" s="34" t="s">
        <v>23</v>
      </c>
      <c r="J22" s="149">
        <v>45849.0</v>
      </c>
      <c r="K22" s="19" t="b">
        <v>1</v>
      </c>
      <c r="L22" s="19" t="b">
        <v>0</v>
      </c>
      <c r="M22" s="19" t="b">
        <v>1</v>
      </c>
      <c r="N22" s="19" t="b">
        <v>1</v>
      </c>
      <c r="O22" s="19" t="b">
        <v>0</v>
      </c>
      <c r="P22" s="324"/>
      <c r="Q22" s="77" t="s">
        <v>79</v>
      </c>
      <c r="R22" s="78"/>
      <c r="S22" s="79"/>
      <c r="U22" s="80" t="s">
        <v>80</v>
      </c>
      <c r="V22" s="73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</row>
    <row r="23" ht="27.0" customHeight="1" outlineLevel="1">
      <c r="A23" s="19" t="b">
        <v>0</v>
      </c>
      <c r="B23" s="140" t="s">
        <v>632</v>
      </c>
      <c r="C23" s="86" t="s">
        <v>77</v>
      </c>
      <c r="D23" s="140" t="s">
        <v>21</v>
      </c>
      <c r="E23" s="140">
        <v>1.0</v>
      </c>
      <c r="F23" s="140">
        <v>1.0</v>
      </c>
      <c r="G23" s="140" t="s">
        <v>22</v>
      </c>
      <c r="H23" s="140" t="s">
        <v>23</v>
      </c>
      <c r="I23" s="140" t="s">
        <v>23</v>
      </c>
      <c r="J23" s="325">
        <v>45849.0</v>
      </c>
      <c r="K23" s="19" t="b">
        <v>0</v>
      </c>
      <c r="L23" s="19" t="b">
        <v>0</v>
      </c>
      <c r="M23" s="19" t="b">
        <v>0</v>
      </c>
      <c r="N23" s="19" t="b">
        <v>0</v>
      </c>
      <c r="O23" s="19" t="b">
        <v>0</v>
      </c>
      <c r="P23" s="326" t="s">
        <v>633</v>
      </c>
      <c r="Q23" s="81" t="s">
        <v>83</v>
      </c>
      <c r="R23" s="82" t="s">
        <v>84</v>
      </c>
      <c r="S23" s="83"/>
      <c r="T23" s="84" t="s">
        <v>85</v>
      </c>
      <c r="U23" s="85" t="s">
        <v>86</v>
      </c>
      <c r="V23" s="73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</row>
    <row r="24" ht="27.0" customHeight="1" outlineLevel="1">
      <c r="A24" s="19" t="b">
        <v>0</v>
      </c>
      <c r="B24" s="34" t="s">
        <v>634</v>
      </c>
      <c r="C24" s="35" t="s">
        <v>82</v>
      </c>
      <c r="D24" s="34" t="s">
        <v>21</v>
      </c>
      <c r="E24" s="34">
        <v>4.0</v>
      </c>
      <c r="F24" s="34">
        <v>1.0</v>
      </c>
      <c r="G24" s="34" t="s">
        <v>22</v>
      </c>
      <c r="H24" s="34" t="s">
        <v>23</v>
      </c>
      <c r="I24" s="34" t="s">
        <v>23</v>
      </c>
      <c r="J24" s="214">
        <v>45835.0</v>
      </c>
      <c r="K24" s="19" t="b">
        <v>1</v>
      </c>
      <c r="L24" s="19" t="b">
        <v>0</v>
      </c>
      <c r="M24" s="19" t="b">
        <v>1</v>
      </c>
      <c r="N24" s="19" t="b">
        <v>1</v>
      </c>
      <c r="O24" s="19" t="b">
        <v>0</v>
      </c>
      <c r="P24" s="324"/>
      <c r="Q24" s="89" t="s">
        <v>90</v>
      </c>
      <c r="R24" s="82" t="s">
        <v>91</v>
      </c>
      <c r="S24" s="83"/>
      <c r="T24" s="84" t="s">
        <v>85</v>
      </c>
      <c r="U24" s="85" t="s">
        <v>86</v>
      </c>
      <c r="V24" s="73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</row>
    <row r="25" ht="36.0" customHeight="1" outlineLevel="1">
      <c r="A25" s="19" t="b">
        <v>0</v>
      </c>
      <c r="B25" s="140" t="s">
        <v>560</v>
      </c>
      <c r="C25" s="86" t="s">
        <v>20</v>
      </c>
      <c r="D25" s="140" t="s">
        <v>21</v>
      </c>
      <c r="E25" s="140">
        <v>8.0</v>
      </c>
      <c r="F25" s="140">
        <v>2.0</v>
      </c>
      <c r="G25" s="140" t="s">
        <v>58</v>
      </c>
      <c r="H25" s="140" t="s">
        <v>23</v>
      </c>
      <c r="I25" s="140" t="s">
        <v>31</v>
      </c>
      <c r="J25" s="48" t="s">
        <v>46</v>
      </c>
      <c r="K25" s="19" t="b">
        <v>1</v>
      </c>
      <c r="L25" s="19" t="b">
        <v>1</v>
      </c>
      <c r="M25" s="19" t="b">
        <v>1</v>
      </c>
      <c r="N25" s="19" t="b">
        <v>1</v>
      </c>
      <c r="O25" s="19" t="b">
        <v>1</v>
      </c>
      <c r="P25" s="327"/>
      <c r="Q25" s="91" t="s">
        <v>92</v>
      </c>
      <c r="R25" s="82" t="s">
        <v>93</v>
      </c>
      <c r="S25" s="83"/>
      <c r="T25" s="84" t="s">
        <v>85</v>
      </c>
      <c r="U25" s="85" t="s">
        <v>94</v>
      </c>
      <c r="V25" s="73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</row>
    <row r="26" ht="27.75" customHeight="1" outlineLevel="1">
      <c r="A26" s="19" t="b">
        <v>1</v>
      </c>
      <c r="B26" s="35" t="s">
        <v>270</v>
      </c>
      <c r="C26" s="35" t="s">
        <v>77</v>
      </c>
      <c r="D26" s="35" t="s">
        <v>156</v>
      </c>
      <c r="E26" s="34"/>
      <c r="F26" s="34"/>
      <c r="G26" s="34"/>
      <c r="H26" s="35" t="s">
        <v>31</v>
      </c>
      <c r="I26" s="35" t="s">
        <v>31</v>
      </c>
      <c r="J26" s="168">
        <v>45729.0</v>
      </c>
      <c r="K26" s="19" t="b">
        <v>0</v>
      </c>
      <c r="L26" s="19" t="b">
        <v>0</v>
      </c>
      <c r="M26" s="19" t="b">
        <v>0</v>
      </c>
      <c r="N26" s="19" t="b">
        <v>0</v>
      </c>
      <c r="O26" s="19" t="b">
        <v>0</v>
      </c>
      <c r="P26" s="241"/>
      <c r="Q26" s="93" t="s">
        <v>97</v>
      </c>
      <c r="R26" s="94" t="s">
        <v>98</v>
      </c>
      <c r="S26" s="95"/>
      <c r="T26" s="84" t="s">
        <v>85</v>
      </c>
      <c r="U26" s="85" t="s">
        <v>94</v>
      </c>
      <c r="V26" s="73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</row>
    <row r="27" ht="15.75" customHeight="1" outlineLevel="1">
      <c r="A27" s="19" t="b">
        <v>0</v>
      </c>
      <c r="B27" s="34" t="s">
        <v>635</v>
      </c>
      <c r="C27" s="35" t="s">
        <v>20</v>
      </c>
      <c r="D27" s="34" t="s">
        <v>21</v>
      </c>
      <c r="E27" s="34">
        <v>2.5</v>
      </c>
      <c r="F27" s="34">
        <v>2.0</v>
      </c>
      <c r="G27" s="34" t="s">
        <v>45</v>
      </c>
      <c r="H27" s="34" t="s">
        <v>23</v>
      </c>
      <c r="I27" s="34" t="s">
        <v>31</v>
      </c>
      <c r="J27" s="131">
        <v>45840.0</v>
      </c>
      <c r="K27" s="328" t="b">
        <v>1</v>
      </c>
      <c r="L27" s="19" t="b">
        <v>1</v>
      </c>
      <c r="M27" s="19" t="b">
        <v>1</v>
      </c>
      <c r="N27" s="19" t="b">
        <v>1</v>
      </c>
      <c r="O27" s="59" t="b">
        <v>1</v>
      </c>
      <c r="P27" s="96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</row>
    <row r="28" ht="15.75" customHeight="1" outlineLevel="1">
      <c r="A28" s="19" t="b">
        <v>0</v>
      </c>
      <c r="B28" s="34" t="s">
        <v>636</v>
      </c>
      <c r="C28" s="35" t="s">
        <v>20</v>
      </c>
      <c r="D28" s="34" t="s">
        <v>21</v>
      </c>
      <c r="E28" s="34">
        <v>1.0</v>
      </c>
      <c r="F28" s="34">
        <v>1.0</v>
      </c>
      <c r="G28" s="34" t="s">
        <v>22</v>
      </c>
      <c r="H28" s="34" t="s">
        <v>23</v>
      </c>
      <c r="I28" s="34" t="s">
        <v>23</v>
      </c>
      <c r="J28" s="149">
        <v>45868.0</v>
      </c>
      <c r="K28" s="19" t="b">
        <v>1</v>
      </c>
      <c r="L28" s="19" t="b">
        <v>0</v>
      </c>
      <c r="M28" s="19" t="b">
        <v>1</v>
      </c>
      <c r="N28" s="19" t="b">
        <v>1</v>
      </c>
      <c r="O28" s="19" t="b">
        <v>0</v>
      </c>
      <c r="P28" s="249"/>
      <c r="Q28" s="96"/>
      <c r="R28" s="85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</row>
    <row r="29" ht="15.75" customHeight="1" outlineLevel="1">
      <c r="A29" s="19" t="b">
        <v>0</v>
      </c>
      <c r="B29" s="34" t="s">
        <v>637</v>
      </c>
      <c r="C29" s="35" t="s">
        <v>107</v>
      </c>
      <c r="D29" s="34" t="s">
        <v>21</v>
      </c>
      <c r="E29" s="34">
        <v>1.5</v>
      </c>
      <c r="F29" s="34">
        <v>1.0</v>
      </c>
      <c r="G29" s="34" t="s">
        <v>22</v>
      </c>
      <c r="H29" s="34" t="s">
        <v>23</v>
      </c>
      <c r="I29" s="34" t="s">
        <v>23</v>
      </c>
      <c r="J29" s="149">
        <v>45862.0</v>
      </c>
      <c r="K29" s="19" t="b">
        <v>1</v>
      </c>
      <c r="L29" s="19" t="b">
        <v>1</v>
      </c>
      <c r="M29" s="19" t="b">
        <v>1</v>
      </c>
      <c r="N29" s="19" t="b">
        <v>1</v>
      </c>
      <c r="O29" s="19" t="b">
        <v>1</v>
      </c>
      <c r="P29" s="118"/>
      <c r="Q29" s="201" t="s">
        <v>362</v>
      </c>
      <c r="R29" s="103">
        <f>(E3*F3)+(E5*F5)+(E6*F6)+(E7*F7)+(E8*F8)+(E9*F9)+(E10*F10)+(E11*F11)+(E12*F12)+(E13*F13)+(E14*F14)+(E15*F15)+(E17*F17)+(E18*F18)+(E19*F19)+(E20*F20)+(E21*F21)+(E22*F22)+(E23*F23)+(E24*F24)+(E25*F25)+(E26*F26)+(E28*F28)+(E29*F29)+(E30*F30)+(E31*F31)+(E32*F32)+(E33*F33)++(E34*F34)+(E35*F35)+(E36*F36)+(E37*F37)+(E38*F38)+(E40*F40)+(E41*F41)+(E42*F42)+(JUN!E54*JUN!F54)+(E44*F44)+(E45*F45)+(E46*F46)+(E47*F47)+(E48*F48)+(E49*F49)+(E50*F50)+(E51*F51)+(E52*F52)+(E53*F53)+(E54*F54)+(E55*F55)+(E56*F56)+(E57*F57)+(E58*F58)+(E59*F59)+(E60*F60)+(E61*F61)+(E62*F62)+(E63*F63)+(E64*F64)+(E65*F65)+(E66*F66)+(E67*F67)+(E68*F68)+(E69*F69)+(E70*F70)+(E71*F71)+(E72*F72)+(E73*F73)+(E74*F74)+(E75*F75)+(E76*F76)+(E77*F77)+(E78*F78)+(E79*F79)+(E80*F80)+(E81*F81)+(E82*F82)+(E83*F83)+(E84*F84)+(E85*F85)+(E86*F86)+(E87*F87)+(E88*F88)+(E89*F89)+(E90*F90)+(E91*F91)+(E92*F92)+(E93*F93)+(E94*F94)+(E95*F95)+(E96*F96)+(E97*F97)+(E98*F98)+(E99*F99)+(E100*F100)+(E101*F101)+(E102*F102)</f>
        <v>300</v>
      </c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</row>
    <row r="30" ht="15.75" customHeight="1" outlineLevel="1">
      <c r="A30" s="19" t="b">
        <v>0</v>
      </c>
      <c r="B30" s="34" t="s">
        <v>638</v>
      </c>
      <c r="C30" s="35" t="s">
        <v>107</v>
      </c>
      <c r="D30" s="34" t="s">
        <v>21</v>
      </c>
      <c r="E30" s="34">
        <v>1.0</v>
      </c>
      <c r="F30" s="34">
        <v>1.0</v>
      </c>
      <c r="G30" s="34" t="s">
        <v>39</v>
      </c>
      <c r="H30" s="34" t="s">
        <v>23</v>
      </c>
      <c r="I30" s="34" t="s">
        <v>31</v>
      </c>
      <c r="J30" s="149">
        <v>45849.0</v>
      </c>
      <c r="K30" s="19" t="b">
        <v>1</v>
      </c>
      <c r="L30" s="19" t="b">
        <v>0</v>
      </c>
      <c r="M30" s="19" t="b">
        <v>1</v>
      </c>
      <c r="N30" s="19" t="b">
        <v>1</v>
      </c>
      <c r="O30" s="19" t="b">
        <v>0</v>
      </c>
      <c r="P30" s="253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</row>
    <row r="31" ht="15.75" customHeight="1" outlineLevel="1">
      <c r="A31" s="19" t="b">
        <v>0</v>
      </c>
      <c r="B31" s="34" t="s">
        <v>639</v>
      </c>
      <c r="C31" s="35" t="s">
        <v>107</v>
      </c>
      <c r="D31" s="34" t="s">
        <v>21</v>
      </c>
      <c r="E31" s="34">
        <v>2.0</v>
      </c>
      <c r="F31" s="34">
        <v>1.0</v>
      </c>
      <c r="G31" s="34" t="s">
        <v>22</v>
      </c>
      <c r="H31" s="34" t="s">
        <v>23</v>
      </c>
      <c r="I31" s="34" t="s">
        <v>23</v>
      </c>
      <c r="J31" s="105" t="s">
        <v>640</v>
      </c>
      <c r="K31" s="19" t="b">
        <v>0</v>
      </c>
      <c r="L31" s="19" t="b">
        <v>0</v>
      </c>
      <c r="M31" s="19" t="b">
        <v>0</v>
      </c>
      <c r="N31" s="19" t="b">
        <v>0</v>
      </c>
      <c r="O31" s="19" t="b">
        <v>0</v>
      </c>
      <c r="P31" s="85"/>
      <c r="Q31" s="143" t="s">
        <v>192</v>
      </c>
      <c r="R31" s="144"/>
      <c r="S31" s="18"/>
      <c r="T31" s="103">
        <v>708.0</v>
      </c>
      <c r="U31" s="85"/>
      <c r="V31" s="85" t="s">
        <v>193</v>
      </c>
      <c r="AF31" s="118"/>
      <c r="AG31" s="118"/>
    </row>
    <row r="32" ht="15.75" customHeight="1" outlineLevel="1">
      <c r="A32" s="19" t="b">
        <v>1</v>
      </c>
      <c r="B32" s="34" t="s">
        <v>119</v>
      </c>
      <c r="C32" s="35" t="s">
        <v>20</v>
      </c>
      <c r="D32" s="34" t="s">
        <v>42</v>
      </c>
      <c r="E32" s="34">
        <v>1.0</v>
      </c>
      <c r="F32" s="34">
        <v>1.0</v>
      </c>
      <c r="G32" s="34" t="s">
        <v>42</v>
      </c>
      <c r="H32" s="34" t="s">
        <v>23</v>
      </c>
      <c r="I32" s="34" t="s">
        <v>23</v>
      </c>
      <c r="J32" s="149">
        <v>45838.0</v>
      </c>
      <c r="K32" s="19" t="b">
        <v>1</v>
      </c>
      <c r="L32" s="19" t="b">
        <v>0</v>
      </c>
      <c r="M32" s="19" t="b">
        <v>0</v>
      </c>
      <c r="N32" s="19" t="b">
        <v>0</v>
      </c>
      <c r="O32" s="19" t="b">
        <v>0</v>
      </c>
      <c r="P32" s="329"/>
      <c r="Q32" s="85"/>
      <c r="R32" s="85"/>
      <c r="S32" s="85"/>
      <c r="T32" s="96"/>
      <c r="U32" s="85"/>
      <c r="V32" s="85"/>
      <c r="AF32" s="118"/>
      <c r="AG32" s="118"/>
    </row>
    <row r="33" ht="15.75" customHeight="1" outlineLevel="1">
      <c r="A33" s="19" t="b">
        <v>1</v>
      </c>
      <c r="B33" s="34" t="s">
        <v>641</v>
      </c>
      <c r="C33" s="35" t="s">
        <v>20</v>
      </c>
      <c r="D33" s="34" t="s">
        <v>21</v>
      </c>
      <c r="E33" s="34">
        <v>16.0</v>
      </c>
      <c r="F33" s="34">
        <v>2.0</v>
      </c>
      <c r="G33" s="34" t="s">
        <v>45</v>
      </c>
      <c r="H33" s="34" t="s">
        <v>31</v>
      </c>
      <c r="I33" s="34" t="s">
        <v>23</v>
      </c>
      <c r="J33" s="40" t="s">
        <v>642</v>
      </c>
      <c r="K33" s="19" t="b">
        <v>1</v>
      </c>
      <c r="L33" s="19" t="b">
        <v>1</v>
      </c>
      <c r="M33" s="19" t="b">
        <v>1</v>
      </c>
      <c r="N33" s="19" t="b">
        <v>1</v>
      </c>
      <c r="O33" s="59" t="b">
        <v>1</v>
      </c>
      <c r="P33" s="118"/>
      <c r="Q33" s="141" t="s">
        <v>199</v>
      </c>
      <c r="R33" s="102"/>
      <c r="S33" s="103">
        <f>T31-R29</f>
        <v>408</v>
      </c>
      <c r="T33" s="96"/>
      <c r="U33" s="85"/>
      <c r="V33" s="257" t="s">
        <v>500</v>
      </c>
      <c r="W33" s="258"/>
      <c r="X33" s="258"/>
      <c r="Y33" s="258"/>
      <c r="AF33" s="118"/>
      <c r="AG33" s="118"/>
    </row>
    <row r="34" ht="15.75" customHeight="1" outlineLevel="1">
      <c r="A34" s="19" t="b">
        <v>0</v>
      </c>
      <c r="B34" s="27" t="s">
        <v>121</v>
      </c>
      <c r="C34" s="28" t="s">
        <v>122</v>
      </c>
      <c r="D34" s="27" t="s">
        <v>123</v>
      </c>
      <c r="E34" s="27">
        <v>2.0</v>
      </c>
      <c r="F34" s="27">
        <v>1.0</v>
      </c>
      <c r="G34" s="34" t="s">
        <v>58</v>
      </c>
      <c r="H34" s="27" t="s">
        <v>23</v>
      </c>
      <c r="I34" s="27" t="s">
        <v>31</v>
      </c>
      <c r="J34" s="131">
        <v>45840.0</v>
      </c>
      <c r="K34" s="19" t="b">
        <v>1</v>
      </c>
      <c r="L34" s="19" t="b">
        <v>1</v>
      </c>
      <c r="M34" s="19" t="b">
        <v>1</v>
      </c>
      <c r="N34" s="19" t="b">
        <v>1</v>
      </c>
      <c r="O34" s="19" t="b">
        <v>0</v>
      </c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</row>
    <row r="35" ht="15.75" customHeight="1" outlineLevel="1">
      <c r="A35" s="19" t="b">
        <v>0</v>
      </c>
      <c r="B35" s="34" t="s">
        <v>643</v>
      </c>
      <c r="C35" s="35" t="s">
        <v>20</v>
      </c>
      <c r="D35" s="34" t="s">
        <v>21</v>
      </c>
      <c r="E35" s="34">
        <v>1.0</v>
      </c>
      <c r="F35" s="34">
        <v>1.0</v>
      </c>
      <c r="G35" s="34" t="s">
        <v>22</v>
      </c>
      <c r="H35" s="34" t="s">
        <v>23</v>
      </c>
      <c r="I35" s="34" t="s">
        <v>23</v>
      </c>
      <c r="J35" s="214">
        <v>45849.0</v>
      </c>
      <c r="K35" s="19" t="b">
        <v>1</v>
      </c>
      <c r="L35" s="19" t="b">
        <v>0</v>
      </c>
      <c r="M35" s="19" t="b">
        <v>1</v>
      </c>
      <c r="N35" s="19" t="b">
        <v>1</v>
      </c>
      <c r="O35" s="19" t="b">
        <v>0</v>
      </c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</row>
    <row r="36" ht="15.75" customHeight="1" outlineLevel="1">
      <c r="A36" s="19" t="b">
        <v>0</v>
      </c>
      <c r="B36" s="34" t="s">
        <v>644</v>
      </c>
      <c r="C36" s="35" t="s">
        <v>122</v>
      </c>
      <c r="D36" s="34" t="s">
        <v>21</v>
      </c>
      <c r="E36" s="34">
        <v>7.0</v>
      </c>
      <c r="F36" s="34">
        <v>2.0</v>
      </c>
      <c r="G36" s="34" t="s">
        <v>45</v>
      </c>
      <c r="H36" s="34" t="s">
        <v>23</v>
      </c>
      <c r="I36" s="34" t="s">
        <v>23</v>
      </c>
      <c r="J36" s="149">
        <v>45924.0</v>
      </c>
      <c r="K36" s="19" t="b">
        <v>1</v>
      </c>
      <c r="L36" s="19" t="b">
        <v>1</v>
      </c>
      <c r="M36" s="19" t="b">
        <v>1</v>
      </c>
      <c r="N36" s="19" t="b">
        <v>1</v>
      </c>
      <c r="O36" s="19" t="b">
        <v>1</v>
      </c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</row>
    <row r="37" ht="15.75" customHeight="1" outlineLevel="1">
      <c r="A37" s="106" t="b">
        <v>0</v>
      </c>
      <c r="B37" s="86" t="s">
        <v>645</v>
      </c>
      <c r="C37" s="86" t="s">
        <v>20</v>
      </c>
      <c r="D37" s="86" t="s">
        <v>21</v>
      </c>
      <c r="E37" s="140">
        <v>8.0</v>
      </c>
      <c r="F37" s="140">
        <v>2.0</v>
      </c>
      <c r="G37" s="140" t="s">
        <v>58</v>
      </c>
      <c r="H37" s="140" t="s">
        <v>31</v>
      </c>
      <c r="I37" s="140" t="s">
        <v>23</v>
      </c>
      <c r="J37" s="213" t="s">
        <v>46</v>
      </c>
      <c r="K37" s="106" t="b">
        <v>0</v>
      </c>
      <c r="L37" s="106" t="b">
        <v>0</v>
      </c>
      <c r="M37" s="106" t="b">
        <v>0</v>
      </c>
      <c r="N37" s="106" t="b">
        <v>0</v>
      </c>
      <c r="O37" s="106" t="b">
        <v>0</v>
      </c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</row>
    <row r="38" ht="15.75" customHeight="1" outlineLevel="1">
      <c r="A38" s="19" t="b">
        <v>0</v>
      </c>
      <c r="B38" s="34" t="s">
        <v>646</v>
      </c>
      <c r="C38" s="35" t="s">
        <v>20</v>
      </c>
      <c r="D38" s="34" t="s">
        <v>21</v>
      </c>
      <c r="E38" s="34">
        <v>16.0</v>
      </c>
      <c r="F38" s="34">
        <v>3.0</v>
      </c>
      <c r="G38" s="34" t="s">
        <v>45</v>
      </c>
      <c r="H38" s="34" t="s">
        <v>23</v>
      </c>
      <c r="I38" s="34" t="s">
        <v>31</v>
      </c>
      <c r="J38" s="40" t="s">
        <v>647</v>
      </c>
      <c r="K38" s="19" t="b">
        <v>1</v>
      </c>
      <c r="L38" s="19" t="b">
        <v>1</v>
      </c>
      <c r="M38" s="19" t="b">
        <v>1</v>
      </c>
      <c r="N38" s="19" t="b">
        <v>1</v>
      </c>
      <c r="O38" s="19" t="b">
        <v>1</v>
      </c>
      <c r="P38" s="130" t="s">
        <v>648</v>
      </c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</row>
    <row r="39" ht="15.75" customHeight="1" outlineLevel="1">
      <c r="A39" s="19" t="b">
        <v>0</v>
      </c>
      <c r="B39" s="34" t="s">
        <v>649</v>
      </c>
      <c r="C39" s="35" t="s">
        <v>20</v>
      </c>
      <c r="D39" s="34" t="s">
        <v>21</v>
      </c>
      <c r="E39" s="34">
        <v>0.5</v>
      </c>
      <c r="F39" s="34">
        <v>1.0</v>
      </c>
      <c r="G39" s="34" t="s">
        <v>34</v>
      </c>
      <c r="H39" s="34" t="s">
        <v>23</v>
      </c>
      <c r="I39" s="34" t="s">
        <v>23</v>
      </c>
      <c r="J39" s="214">
        <v>45849.0</v>
      </c>
      <c r="K39" s="19" t="b">
        <v>1</v>
      </c>
      <c r="L39" s="19" t="b">
        <v>0</v>
      </c>
      <c r="M39" s="19" t="b">
        <v>1</v>
      </c>
      <c r="N39" s="19" t="b">
        <v>1</v>
      </c>
      <c r="O39" s="19" t="b">
        <v>0</v>
      </c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</row>
    <row r="40" ht="15.75" customHeight="1" outlineLevel="1">
      <c r="A40" s="19" t="b">
        <v>0</v>
      </c>
      <c r="B40" s="34" t="s">
        <v>650</v>
      </c>
      <c r="C40" s="35" t="s">
        <v>20</v>
      </c>
      <c r="D40" s="34" t="s">
        <v>21</v>
      </c>
      <c r="E40" s="34">
        <v>1.0</v>
      </c>
      <c r="F40" s="34">
        <v>1.0</v>
      </c>
      <c r="G40" s="34" t="s">
        <v>22</v>
      </c>
      <c r="H40" s="34" t="s">
        <v>23</v>
      </c>
      <c r="I40" s="34" t="s">
        <v>23</v>
      </c>
      <c r="J40" s="214">
        <v>45849.0</v>
      </c>
      <c r="K40" s="19" t="b">
        <v>1</v>
      </c>
      <c r="L40" s="19" t="b">
        <v>0</v>
      </c>
      <c r="M40" s="19" t="b">
        <v>1</v>
      </c>
      <c r="N40" s="19" t="b">
        <v>1</v>
      </c>
      <c r="O40" s="19" t="b">
        <v>0</v>
      </c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</row>
    <row r="41" ht="15.75" customHeight="1" outlineLevel="1">
      <c r="A41" s="19" t="b">
        <v>0</v>
      </c>
      <c r="B41" s="35" t="s">
        <v>651</v>
      </c>
      <c r="C41" s="35" t="s">
        <v>82</v>
      </c>
      <c r="D41" s="35" t="s">
        <v>21</v>
      </c>
      <c r="E41" s="35">
        <v>1.0</v>
      </c>
      <c r="F41" s="35">
        <v>1.0</v>
      </c>
      <c r="G41" s="35" t="s">
        <v>22</v>
      </c>
      <c r="H41" s="35" t="s">
        <v>23</v>
      </c>
      <c r="I41" s="35" t="s">
        <v>23</v>
      </c>
      <c r="J41" s="330">
        <v>45840.0</v>
      </c>
      <c r="K41" s="19" t="b">
        <v>1</v>
      </c>
      <c r="L41" s="19" t="b">
        <v>0</v>
      </c>
      <c r="M41" s="19" t="b">
        <v>1</v>
      </c>
      <c r="N41" s="19" t="b">
        <v>1</v>
      </c>
      <c r="O41" s="19" t="b">
        <v>0</v>
      </c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</row>
    <row r="42" ht="15.75" customHeight="1" outlineLevel="1">
      <c r="A42" s="19" t="b">
        <v>0</v>
      </c>
      <c r="B42" s="262" t="s">
        <v>652</v>
      </c>
      <c r="C42" s="331" t="s">
        <v>20</v>
      </c>
      <c r="D42" s="331" t="s">
        <v>21</v>
      </c>
      <c r="E42" s="331">
        <v>1.0</v>
      </c>
      <c r="F42" s="331">
        <v>1.0</v>
      </c>
      <c r="G42" s="331" t="s">
        <v>22</v>
      </c>
      <c r="H42" s="331" t="s">
        <v>23</v>
      </c>
      <c r="I42" s="331" t="s">
        <v>23</v>
      </c>
      <c r="J42" s="131">
        <v>45863.0</v>
      </c>
      <c r="K42" s="19" t="b">
        <v>1</v>
      </c>
      <c r="L42" s="19" t="b">
        <v>0</v>
      </c>
      <c r="M42" s="19" t="b">
        <v>1</v>
      </c>
      <c r="N42" s="19" t="b">
        <v>1</v>
      </c>
      <c r="O42" s="19" t="b">
        <v>0</v>
      </c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</row>
    <row r="43" ht="15.75" customHeight="1" outlineLevel="1">
      <c r="A43" s="19" t="b">
        <v>0</v>
      </c>
      <c r="B43" s="35" t="s">
        <v>653</v>
      </c>
      <c r="C43" s="35" t="s">
        <v>20</v>
      </c>
      <c r="D43" s="35" t="s">
        <v>21</v>
      </c>
      <c r="E43" s="35">
        <v>1.0</v>
      </c>
      <c r="F43" s="35">
        <v>1.0</v>
      </c>
      <c r="G43" s="35" t="s">
        <v>22</v>
      </c>
      <c r="H43" s="35" t="s">
        <v>23</v>
      </c>
      <c r="I43" s="35" t="s">
        <v>23</v>
      </c>
      <c r="J43" s="131">
        <v>45868.0</v>
      </c>
      <c r="K43" s="19" t="b">
        <v>1</v>
      </c>
      <c r="L43" s="19" t="b">
        <v>1</v>
      </c>
      <c r="M43" s="19" t="b">
        <v>1</v>
      </c>
      <c r="N43" s="19" t="b">
        <v>1</v>
      </c>
      <c r="O43" s="19" t="b">
        <v>1</v>
      </c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</row>
    <row r="44" ht="15.75" customHeight="1" outlineLevel="1">
      <c r="A44" s="19" t="b">
        <v>0</v>
      </c>
      <c r="B44" s="34" t="s">
        <v>654</v>
      </c>
      <c r="C44" s="35" t="s">
        <v>20</v>
      </c>
      <c r="D44" s="34" t="s">
        <v>21</v>
      </c>
      <c r="E44" s="34">
        <v>1.5</v>
      </c>
      <c r="F44" s="34">
        <v>1.0</v>
      </c>
      <c r="G44" s="34" t="s">
        <v>22</v>
      </c>
      <c r="H44" s="34" t="s">
        <v>23</v>
      </c>
      <c r="I44" s="34" t="s">
        <v>23</v>
      </c>
      <c r="J44" s="168">
        <v>45869.0</v>
      </c>
      <c r="K44" s="19" t="b">
        <v>1</v>
      </c>
      <c r="L44" s="19" t="b">
        <v>0</v>
      </c>
      <c r="M44" s="19" t="b">
        <v>1</v>
      </c>
      <c r="N44" s="19" t="b">
        <v>1</v>
      </c>
      <c r="O44" s="19" t="b">
        <v>0</v>
      </c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</row>
    <row r="45" ht="15.75" customHeight="1" outlineLevel="1">
      <c r="A45" s="19" t="b">
        <v>0</v>
      </c>
      <c r="B45" s="34" t="s">
        <v>602</v>
      </c>
      <c r="C45" s="35" t="s">
        <v>20</v>
      </c>
      <c r="D45" s="34" t="s">
        <v>21</v>
      </c>
      <c r="E45" s="34">
        <v>1.0</v>
      </c>
      <c r="F45" s="34">
        <v>1.0</v>
      </c>
      <c r="G45" s="34" t="s">
        <v>22</v>
      </c>
      <c r="H45" s="34" t="s">
        <v>23</v>
      </c>
      <c r="I45" s="34" t="s">
        <v>23</v>
      </c>
      <c r="J45" s="332" t="s">
        <v>655</v>
      </c>
      <c r="K45" s="19" t="b">
        <v>1</v>
      </c>
      <c r="L45" s="19" t="b">
        <v>0</v>
      </c>
      <c r="M45" s="19" t="b">
        <v>1</v>
      </c>
      <c r="N45" s="19" t="b">
        <v>1</v>
      </c>
      <c r="O45" s="19" t="b">
        <v>0</v>
      </c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</row>
    <row r="46" ht="15.75" customHeight="1" outlineLevel="1">
      <c r="A46" s="19" t="b">
        <v>0</v>
      </c>
      <c r="B46" s="34"/>
      <c r="C46" s="34"/>
      <c r="D46" s="34"/>
      <c r="E46" s="34"/>
      <c r="F46" s="34"/>
      <c r="G46" s="34"/>
      <c r="H46" s="34"/>
      <c r="I46" s="34"/>
      <c r="J46" s="34"/>
      <c r="K46" s="19" t="b">
        <v>0</v>
      </c>
      <c r="L46" s="19" t="b">
        <v>0</v>
      </c>
      <c r="M46" s="19" t="b">
        <v>0</v>
      </c>
      <c r="N46" s="19" t="b">
        <v>0</v>
      </c>
      <c r="O46" s="19" t="b">
        <v>0</v>
      </c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</row>
    <row r="47" ht="15.75" customHeight="1" outlineLevel="1">
      <c r="A47" s="19" t="b">
        <v>0</v>
      </c>
      <c r="B47" s="34"/>
      <c r="C47" s="34"/>
      <c r="D47" s="34"/>
      <c r="E47" s="34">
        <f>SUM(E2:E45)</f>
        <v>179.5</v>
      </c>
      <c r="F47" s="34"/>
      <c r="G47" s="34"/>
      <c r="H47" s="34"/>
      <c r="I47" s="34"/>
      <c r="J47" s="34"/>
      <c r="K47" s="19" t="b">
        <v>0</v>
      </c>
      <c r="L47" s="19" t="b">
        <v>0</v>
      </c>
      <c r="M47" s="19" t="b">
        <v>0</v>
      </c>
      <c r="N47" s="19" t="b">
        <v>0</v>
      </c>
      <c r="O47" s="19" t="b">
        <v>0</v>
      </c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</row>
    <row r="48" ht="15.75" customHeight="1" outlineLevel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155"/>
      <c r="L48" s="155"/>
      <c r="M48" s="155"/>
      <c r="N48" s="155"/>
      <c r="O48" s="155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</row>
    <row r="49" ht="15.75" customHeight="1" outlineLevel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155"/>
      <c r="L49" s="155"/>
      <c r="M49" s="155"/>
      <c r="N49" s="155"/>
      <c r="O49" s="155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</row>
    <row r="50" ht="15.75" customHeight="1" outlineLevel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155"/>
      <c r="L50" s="155"/>
      <c r="M50" s="155"/>
      <c r="N50" s="155"/>
      <c r="O50" s="155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</row>
    <row r="51" ht="15.75" customHeight="1" outlineLevel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155"/>
      <c r="L51" s="155"/>
      <c r="M51" s="155"/>
      <c r="N51" s="155"/>
      <c r="O51" s="155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</row>
    <row r="52" ht="15.75" customHeight="1" outlineLevel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155"/>
      <c r="L52" s="155"/>
      <c r="M52" s="155"/>
      <c r="N52" s="155"/>
      <c r="O52" s="155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</row>
    <row r="53" ht="15.75" customHeight="1" outlineLevel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155"/>
      <c r="L53" s="155"/>
      <c r="M53" s="155"/>
      <c r="N53" s="155"/>
      <c r="O53" s="155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</row>
    <row r="54" ht="15.75" customHeight="1" outlineLevel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155"/>
      <c r="L54" s="155"/>
      <c r="M54" s="155"/>
      <c r="N54" s="155"/>
      <c r="O54" s="155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</row>
    <row r="55" ht="15.75" customHeight="1" outlineLevel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155"/>
      <c r="L55" s="155"/>
      <c r="M55" s="155"/>
      <c r="N55" s="155"/>
      <c r="O55" s="155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</row>
    <row r="56" ht="15.75" customHeight="1" outlineLevel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155"/>
      <c r="L56" s="155"/>
      <c r="M56" s="155"/>
      <c r="N56" s="155"/>
      <c r="O56" s="155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</row>
    <row r="57" ht="15.75" customHeight="1" outlineLevel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155"/>
      <c r="L57" s="155"/>
      <c r="M57" s="155"/>
      <c r="N57" s="155"/>
      <c r="O57" s="155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</row>
    <row r="58" ht="15.75" customHeight="1" outlineLevel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155"/>
      <c r="L58" s="155"/>
      <c r="M58" s="155"/>
      <c r="N58" s="155"/>
      <c r="O58" s="155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</row>
    <row r="59" ht="15.75" customHeight="1" outlineLevel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155"/>
      <c r="L59" s="155"/>
      <c r="M59" s="155"/>
      <c r="N59" s="155"/>
      <c r="O59" s="155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</row>
    <row r="60" ht="15.75" customHeight="1" outlineLevel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155"/>
      <c r="L60" s="155"/>
      <c r="M60" s="155"/>
      <c r="N60" s="155"/>
      <c r="O60" s="155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</row>
    <row r="61" ht="15.75" customHeight="1" outlineLevel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155"/>
      <c r="L61" s="155"/>
      <c r="M61" s="155"/>
      <c r="N61" s="155"/>
      <c r="O61" s="155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</row>
    <row r="62" ht="15.75" customHeight="1" outlineLevel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155"/>
      <c r="L62" s="155"/>
      <c r="M62" s="155"/>
      <c r="N62" s="155"/>
      <c r="O62" s="155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</row>
    <row r="63" ht="15.75" customHeight="1" outlineLevel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155"/>
      <c r="L63" s="155"/>
      <c r="M63" s="155"/>
      <c r="N63" s="155"/>
      <c r="O63" s="155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</row>
    <row r="64" ht="15.75" customHeight="1" outlineLevel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155"/>
      <c r="L64" s="155"/>
      <c r="M64" s="155"/>
      <c r="N64" s="155"/>
      <c r="O64" s="155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</row>
    <row r="65" ht="15.75" customHeight="1" outlineLevel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155"/>
      <c r="L65" s="155"/>
      <c r="M65" s="155"/>
      <c r="N65" s="155"/>
      <c r="O65" s="155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</row>
    <row r="66" ht="15.75" customHeight="1" outlineLevel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155"/>
      <c r="L66" s="155"/>
      <c r="M66" s="155"/>
      <c r="N66" s="155"/>
      <c r="O66" s="155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</row>
    <row r="67" ht="15.75" customHeight="1" outlineLevel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155"/>
      <c r="L67" s="155"/>
      <c r="M67" s="155"/>
      <c r="N67" s="155"/>
      <c r="O67" s="155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</row>
    <row r="68" ht="15.75" customHeight="1" outlineLevel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155"/>
      <c r="L68" s="155"/>
      <c r="M68" s="155"/>
      <c r="N68" s="155"/>
      <c r="O68" s="155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</row>
    <row r="69" ht="15.75" customHeight="1" outlineLevel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155"/>
      <c r="L69" s="155"/>
      <c r="M69" s="155"/>
      <c r="N69" s="155"/>
      <c r="O69" s="155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</row>
    <row r="70" ht="15.75" customHeight="1" outlineLevel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155"/>
      <c r="L70" s="155"/>
      <c r="M70" s="155"/>
      <c r="N70" s="155"/>
      <c r="O70" s="155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</row>
    <row r="71" ht="15.75" customHeight="1" outlineLevel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155"/>
      <c r="L71" s="155"/>
      <c r="M71" s="155"/>
      <c r="N71" s="155"/>
      <c r="O71" s="155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</row>
    <row r="72" ht="15.75" customHeight="1" outlineLevel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155"/>
      <c r="L72" s="155"/>
      <c r="M72" s="155"/>
      <c r="N72" s="155"/>
      <c r="O72" s="155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</row>
    <row r="73" ht="15.75" customHeight="1" outlineLevel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155"/>
      <c r="L73" s="155"/>
      <c r="M73" s="155"/>
      <c r="N73" s="155"/>
      <c r="O73" s="155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</row>
    <row r="74" ht="15.75" customHeight="1" outlineLevel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155"/>
      <c r="L74" s="155"/>
      <c r="M74" s="155"/>
      <c r="N74" s="155"/>
      <c r="O74" s="155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</row>
    <row r="75" ht="15.75" customHeight="1" outlineLevel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155"/>
      <c r="L75" s="155"/>
      <c r="M75" s="155"/>
      <c r="N75" s="155"/>
      <c r="O75" s="155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</row>
    <row r="76" ht="15.75" customHeight="1" outlineLevel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155"/>
      <c r="L76" s="155"/>
      <c r="M76" s="155"/>
      <c r="N76" s="155"/>
      <c r="O76" s="155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</row>
    <row r="77" ht="15.75" customHeight="1" outlineLevel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155"/>
      <c r="L77" s="155"/>
      <c r="M77" s="155"/>
      <c r="N77" s="155"/>
      <c r="O77" s="155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</row>
    <row r="78" ht="15.75" customHeight="1" outlineLevel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155"/>
      <c r="L78" s="155"/>
      <c r="M78" s="155"/>
      <c r="N78" s="155"/>
      <c r="O78" s="155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</row>
    <row r="79" ht="15.75" customHeight="1" outlineLevel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155"/>
      <c r="L79" s="155"/>
      <c r="M79" s="155"/>
      <c r="N79" s="155"/>
      <c r="O79" s="155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</row>
    <row r="80" ht="15.75" customHeight="1" outlineLevel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155"/>
      <c r="L80" s="155"/>
      <c r="M80" s="155"/>
      <c r="N80" s="155"/>
      <c r="O80" s="155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</row>
    <row r="81" ht="15.75" customHeight="1" outlineLevel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155"/>
      <c r="L81" s="155"/>
      <c r="M81" s="155"/>
      <c r="N81" s="155"/>
      <c r="O81" s="155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</row>
    <row r="82" ht="15.75" customHeight="1" outlineLevel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155"/>
      <c r="L82" s="155"/>
      <c r="M82" s="155"/>
      <c r="N82" s="155"/>
      <c r="O82" s="155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</row>
    <row r="83" ht="15.75" customHeight="1" outlineLevel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155"/>
      <c r="L83" s="155"/>
      <c r="M83" s="155"/>
      <c r="N83" s="155"/>
      <c r="O83" s="155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</row>
    <row r="84" ht="15.75" customHeight="1" outlineLevel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155"/>
      <c r="L84" s="155"/>
      <c r="M84" s="155"/>
      <c r="N84" s="155"/>
      <c r="O84" s="155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</row>
    <row r="85" ht="15.75" customHeight="1" outlineLevel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155"/>
      <c r="L85" s="155"/>
      <c r="M85" s="155"/>
      <c r="N85" s="155"/>
      <c r="O85" s="155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</row>
    <row r="86" ht="15.75" customHeight="1" outlineLevel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155"/>
      <c r="L86" s="155"/>
      <c r="M86" s="155"/>
      <c r="N86" s="155"/>
      <c r="O86" s="155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</row>
    <row r="87" ht="15.75" customHeight="1" outlineLevel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155"/>
      <c r="L87" s="155"/>
      <c r="M87" s="155"/>
      <c r="N87" s="155"/>
      <c r="O87" s="155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</row>
    <row r="88" ht="15.75" customHeight="1" outlineLevel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155"/>
      <c r="L88" s="155"/>
      <c r="M88" s="155"/>
      <c r="N88" s="155"/>
      <c r="O88" s="155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</row>
    <row r="89" ht="15.75" customHeight="1" outlineLevel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155"/>
      <c r="L89" s="155"/>
      <c r="M89" s="155"/>
      <c r="N89" s="155"/>
      <c r="O89" s="155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</row>
    <row r="90" ht="15.75" customHeight="1" outlineLevel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155"/>
      <c r="L90" s="155"/>
      <c r="M90" s="155"/>
      <c r="N90" s="155"/>
      <c r="O90" s="155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</row>
    <row r="91" ht="15.75" customHeight="1" outlineLevel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155"/>
      <c r="L91" s="155"/>
      <c r="M91" s="155"/>
      <c r="N91" s="155"/>
      <c r="O91" s="155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</row>
    <row r="92" ht="15.75" customHeight="1" outlineLevel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155"/>
      <c r="L92" s="155"/>
      <c r="M92" s="155"/>
      <c r="N92" s="155"/>
      <c r="O92" s="155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</row>
    <row r="93" ht="15.75" customHeight="1" outlineLevel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155"/>
      <c r="L93" s="155"/>
      <c r="M93" s="155"/>
      <c r="N93" s="155"/>
      <c r="O93" s="155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</row>
    <row r="94" ht="15.75" customHeight="1" outlineLevel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155"/>
      <c r="L94" s="155"/>
      <c r="M94" s="155"/>
      <c r="N94" s="155"/>
      <c r="O94" s="155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</row>
    <row r="95" ht="15.75" customHeight="1" outlineLevel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155"/>
      <c r="L95" s="155"/>
      <c r="M95" s="155"/>
      <c r="N95" s="155"/>
      <c r="O95" s="155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</row>
    <row r="96" ht="15.75" customHeight="1" outlineLevel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155"/>
      <c r="L96" s="155"/>
      <c r="M96" s="155"/>
      <c r="N96" s="155"/>
      <c r="O96" s="155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</row>
    <row r="97" ht="15.75" customHeight="1" outlineLevel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155"/>
      <c r="L97" s="155"/>
      <c r="M97" s="155"/>
      <c r="N97" s="155"/>
      <c r="O97" s="155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</row>
    <row r="98" ht="15.75" customHeight="1" outlineLevel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155"/>
      <c r="L98" s="155"/>
      <c r="M98" s="155"/>
      <c r="N98" s="155"/>
      <c r="O98" s="155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</row>
    <row r="99" ht="15.75" customHeight="1" outlineLevel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155"/>
      <c r="L99" s="155"/>
      <c r="M99" s="155"/>
      <c r="N99" s="155"/>
      <c r="O99" s="155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</row>
    <row r="100" ht="15.75" customHeight="1" outlineLevel="1">
      <c r="A100" s="117"/>
      <c r="B100" s="34"/>
      <c r="C100" s="34"/>
      <c r="D100" s="34"/>
      <c r="E100" s="34"/>
      <c r="F100" s="34"/>
      <c r="G100" s="34"/>
      <c r="H100" s="34"/>
      <c r="I100" s="34"/>
      <c r="J100" s="34"/>
      <c r="K100" s="155"/>
      <c r="L100" s="155"/>
      <c r="M100" s="155"/>
      <c r="N100" s="116"/>
      <c r="O100" s="155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</row>
    <row r="101" ht="15.75" customHeight="1" outlineLevel="1">
      <c r="A101" s="117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6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</row>
    <row r="102" ht="15.75" customHeight="1">
      <c r="A102" s="117"/>
      <c r="B102" s="118"/>
      <c r="N102" s="116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</row>
    <row r="103" ht="15.75" customHeight="1">
      <c r="A103" s="117"/>
      <c r="B103" s="118"/>
      <c r="N103" s="116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</row>
    <row r="104" ht="15.75" customHeight="1">
      <c r="A104" s="117"/>
      <c r="B104" s="118"/>
      <c r="N104" s="116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</row>
    <row r="105" ht="15.75" customHeight="1">
      <c r="A105" s="118"/>
      <c r="B105" s="118"/>
      <c r="N105" s="116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</row>
    <row r="106" ht="15.75" customHeight="1">
      <c r="A106" s="118"/>
      <c r="B106" s="118"/>
      <c r="N106" s="155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</row>
    <row r="107" ht="15.75" customHeight="1">
      <c r="A107" s="118"/>
      <c r="B107" s="118"/>
      <c r="N107" s="155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</row>
    <row r="108" ht="15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55"/>
      <c r="O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</row>
    <row r="109" ht="15.7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55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</row>
    <row r="110" ht="15.7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55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</row>
    <row r="111" ht="15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55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</row>
    <row r="112" ht="15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55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</row>
    <row r="113" ht="15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55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</row>
    <row r="114" ht="15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55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</row>
    <row r="115" ht="15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55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</row>
    <row r="116" ht="15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55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</row>
    <row r="117" ht="15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55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</row>
    <row r="118" ht="15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55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</row>
    <row r="119" ht="15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55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</row>
    <row r="120" ht="15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55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</row>
    <row r="121" ht="15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55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</row>
    <row r="122" ht="15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55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</row>
    <row r="123" ht="15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55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</row>
    <row r="124" ht="15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55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</row>
    <row r="125" ht="15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55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</row>
    <row r="126" ht="15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55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</row>
    <row r="127" ht="15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55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</row>
    <row r="128" ht="15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55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</row>
    <row r="129" ht="15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55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</row>
    <row r="130" ht="15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55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</row>
    <row r="131" ht="15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55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</row>
    <row r="132" ht="15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55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</row>
    <row r="133" ht="15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55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</row>
    <row r="134" ht="15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55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</row>
    <row r="135" ht="15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55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</row>
    <row r="136" ht="15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55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</row>
    <row r="137" ht="15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55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</row>
    <row r="138" ht="15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55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</row>
    <row r="139" ht="15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55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</row>
    <row r="140" ht="15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55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</row>
    <row r="141" ht="15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55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</row>
    <row r="142" ht="15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55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</row>
    <row r="143" ht="15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55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</row>
    <row r="144" ht="15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55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</row>
    <row r="145" ht="15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55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</row>
    <row r="146" ht="15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55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</row>
    <row r="147" ht="15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55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</row>
    <row r="148" ht="15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55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</row>
    <row r="149" ht="15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55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</row>
    <row r="150" ht="15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55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</row>
    <row r="151" ht="15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55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</row>
    <row r="152" ht="15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55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</row>
    <row r="153" ht="15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55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</row>
    <row r="154" ht="15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55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</row>
    <row r="155" ht="15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55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</row>
    <row r="156" ht="15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55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</row>
    <row r="157" ht="15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55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</row>
    <row r="158" ht="15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55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</row>
    <row r="159" ht="15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55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</row>
    <row r="160" ht="15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55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</row>
    <row r="161" ht="15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55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</row>
    <row r="162" ht="15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55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</row>
    <row r="163" ht="15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55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</row>
    <row r="164" ht="15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55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</row>
    <row r="165" ht="15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55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</row>
    <row r="166" ht="15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55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</row>
    <row r="167" ht="15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55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</row>
    <row r="168" ht="15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55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</row>
    <row r="169" ht="15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55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</row>
    <row r="170" ht="15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55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</row>
    <row r="171" ht="15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55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</row>
    <row r="172" ht="15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55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</row>
    <row r="173" ht="15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55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</row>
    <row r="174" ht="15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55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</row>
    <row r="175" ht="15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55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</row>
    <row r="176" ht="15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55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</row>
    <row r="177" ht="15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55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</row>
    <row r="178" ht="15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55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</row>
    <row r="179" ht="15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55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</row>
    <row r="180" ht="15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55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</row>
    <row r="181" ht="15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55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</row>
    <row r="182" ht="15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55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</row>
    <row r="183" ht="15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55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</row>
    <row r="184" ht="15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55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</row>
    <row r="185" ht="15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55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</row>
    <row r="186" ht="15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55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</row>
    <row r="187" ht="15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55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</row>
    <row r="188" ht="15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55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</row>
    <row r="189" ht="15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55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</row>
    <row r="190" ht="15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55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</row>
    <row r="191" ht="15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55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</row>
    <row r="192" ht="15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55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</row>
    <row r="193" ht="15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55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</row>
    <row r="194" ht="15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55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</row>
    <row r="195" ht="15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55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</row>
    <row r="196" ht="15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55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</row>
    <row r="197" ht="15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55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</row>
    <row r="198" ht="15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55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</row>
    <row r="199" ht="15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55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</row>
    <row r="200" ht="15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55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</row>
    <row r="201" ht="15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55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</row>
    <row r="202" ht="15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55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</row>
    <row r="203" ht="15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55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</row>
    <row r="204" ht="15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55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</row>
    <row r="205" ht="15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55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</row>
    <row r="206" ht="15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55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</row>
    <row r="207" ht="15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55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</row>
    <row r="208" ht="15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55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</row>
    <row r="209" ht="15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55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</row>
    <row r="210" ht="15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55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</row>
    <row r="211" ht="15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55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</row>
    <row r="212" ht="15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55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</row>
    <row r="213" ht="15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55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</row>
    <row r="214" ht="15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55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</row>
    <row r="215" ht="15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55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</row>
    <row r="216" ht="15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55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</row>
    <row r="217" ht="15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55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</row>
    <row r="218" ht="15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55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</row>
    <row r="219" ht="15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55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</row>
    <row r="220" ht="15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55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</row>
    <row r="221" ht="15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55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</row>
    <row r="222" ht="15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55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</row>
    <row r="223" ht="15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55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</row>
    <row r="224" ht="15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55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</row>
    <row r="225" ht="15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55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</row>
    <row r="226" ht="15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55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</row>
    <row r="227" ht="15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55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</row>
    <row r="228" ht="15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55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</row>
    <row r="229" ht="15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55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</row>
    <row r="230" ht="15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55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</row>
    <row r="231" ht="15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55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</row>
    <row r="232" ht="15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55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</row>
    <row r="233" ht="15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55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</row>
    <row r="234" ht="15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55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</row>
    <row r="235" ht="15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55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</row>
    <row r="236" ht="15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55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</row>
    <row r="237" ht="15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55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</row>
    <row r="238" ht="15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55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</row>
    <row r="239" ht="15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55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</row>
    <row r="240" ht="15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55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</row>
    <row r="241" ht="15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55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</row>
    <row r="242" ht="15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55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</row>
    <row r="243" ht="15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55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</row>
    <row r="244" ht="15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55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</row>
    <row r="245" ht="15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55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</row>
    <row r="246" ht="15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55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</row>
    <row r="247" ht="15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55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</row>
    <row r="248" ht="15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55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</row>
    <row r="249" ht="15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55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</row>
    <row r="250" ht="15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55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</row>
    <row r="251" ht="15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55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</row>
    <row r="252" ht="15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55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</row>
    <row r="253" ht="15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55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</row>
    <row r="254" ht="15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55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</row>
    <row r="255" ht="15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55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</row>
    <row r="256" ht="15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55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</row>
    <row r="257" ht="15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55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</row>
    <row r="258" ht="15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55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</row>
    <row r="259" ht="15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55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</row>
    <row r="260" ht="15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55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</row>
    <row r="261" ht="15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55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</row>
    <row r="262" ht="15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55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</row>
    <row r="263" ht="15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55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</row>
    <row r="264" ht="15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55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</row>
    <row r="265" ht="15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55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</row>
    <row r="266" ht="15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55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</row>
    <row r="267" ht="15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55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</row>
    <row r="268" ht="15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55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</row>
    <row r="269" ht="15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55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</row>
    <row r="270" ht="15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55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</row>
    <row r="271" ht="15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55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</row>
    <row r="272" ht="15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55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</row>
    <row r="273" ht="15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55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</row>
    <row r="274" ht="15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55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</row>
    <row r="275" ht="15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55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</row>
    <row r="276" ht="15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55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</row>
    <row r="277" ht="15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55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</row>
    <row r="278" ht="15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55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</row>
    <row r="279" ht="15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55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</row>
    <row r="280" ht="15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55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</row>
    <row r="281" ht="15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55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</row>
    <row r="282" ht="15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55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</row>
    <row r="283" ht="15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55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</row>
    <row r="284" ht="15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55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</row>
    <row r="285" ht="15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55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</row>
    <row r="286" ht="15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55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</row>
    <row r="287" ht="15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55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</row>
    <row r="288" ht="15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55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</row>
    <row r="289" ht="15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55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</row>
    <row r="290" ht="15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55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</row>
    <row r="291" ht="15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55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</row>
    <row r="292" ht="15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55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</row>
    <row r="293" ht="15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55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</row>
    <row r="294" ht="15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55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</row>
    <row r="295" ht="15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55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</row>
    <row r="296" ht="15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55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</row>
    <row r="297" ht="15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55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</row>
    <row r="298" ht="15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55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</row>
    <row r="299" ht="15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55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</row>
    <row r="300" ht="15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55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</row>
    <row r="301" ht="15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55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</row>
    <row r="302" ht="15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55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</row>
    <row r="303" ht="15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55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</row>
    <row r="304" ht="15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55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</row>
    <row r="305" ht="15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55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</row>
    <row r="306" ht="15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55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</row>
    <row r="307" ht="15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55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</row>
    <row r="308" ht="15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55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</row>
    <row r="309" ht="15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55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</row>
    <row r="310" ht="15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55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</row>
    <row r="311" ht="15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55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</row>
    <row r="312" ht="15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55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</row>
    <row r="313" ht="15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55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</row>
    <row r="314" ht="15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55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</row>
    <row r="315" ht="15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55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</row>
    <row r="316" ht="15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55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</row>
    <row r="317" ht="15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55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</row>
    <row r="318" ht="15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55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</row>
    <row r="319" ht="15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55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</row>
    <row r="320" ht="15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55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</row>
    <row r="321" ht="15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55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</row>
    <row r="322" ht="15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55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</row>
    <row r="323" ht="15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55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</row>
    <row r="324" ht="15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55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</row>
    <row r="325" ht="15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55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</row>
    <row r="326" ht="15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55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</row>
    <row r="327" ht="15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55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</row>
    <row r="328" ht="15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55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</row>
    <row r="329" ht="15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55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</row>
    <row r="330" ht="15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55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</row>
    <row r="331" ht="15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55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</row>
    <row r="332" ht="15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55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</row>
    <row r="333" ht="15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55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</row>
    <row r="334" ht="15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55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</row>
    <row r="335" ht="15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55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</row>
    <row r="336" ht="15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55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</row>
    <row r="337" ht="15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55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</row>
    <row r="338" ht="15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55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</row>
    <row r="339" ht="15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55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</row>
    <row r="340" ht="15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55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</row>
    <row r="341" ht="15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55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</row>
    <row r="342" ht="15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55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</row>
    <row r="343" ht="15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55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</row>
    <row r="344" ht="15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55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</row>
    <row r="345" ht="15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55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</row>
    <row r="346" ht="15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55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</row>
    <row r="347" ht="15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55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</row>
    <row r="348" ht="15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55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</row>
    <row r="349" ht="15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55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</row>
    <row r="350" ht="15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55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</row>
    <row r="351" ht="15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55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</row>
    <row r="352" ht="15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55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</row>
    <row r="353" ht="15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55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</row>
    <row r="354" ht="15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55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</row>
    <row r="355" ht="15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55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</row>
    <row r="356" ht="15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55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</row>
    <row r="357" ht="15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55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</row>
    <row r="358" ht="15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55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</row>
    <row r="359" ht="15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55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</row>
    <row r="360" ht="15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55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</row>
    <row r="361" ht="15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55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</row>
    <row r="362" ht="15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55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</row>
    <row r="363" ht="15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55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</row>
    <row r="364" ht="15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55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</row>
    <row r="365" ht="15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55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</row>
    <row r="366" ht="15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55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</row>
    <row r="367" ht="15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55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</row>
    <row r="368" ht="15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55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</row>
    <row r="369" ht="15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55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</row>
    <row r="370" ht="15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55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</row>
    <row r="371" ht="15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55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</row>
    <row r="372" ht="15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55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</row>
    <row r="373" ht="15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55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</row>
    <row r="374" ht="15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55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</row>
    <row r="375" ht="15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55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</row>
    <row r="376" ht="15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55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</row>
    <row r="377" ht="15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55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</row>
    <row r="378" ht="15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55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</row>
    <row r="379" ht="15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55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</row>
    <row r="380" ht="15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55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</row>
    <row r="381" ht="15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55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</row>
    <row r="382" ht="15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55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</row>
    <row r="383" ht="15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55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</row>
    <row r="384" ht="15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55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</row>
    <row r="385" ht="15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55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</row>
    <row r="386" ht="15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55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</row>
    <row r="387" ht="15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55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</row>
    <row r="388" ht="15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55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</row>
    <row r="389" ht="15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55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</row>
    <row r="390" ht="15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55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</row>
    <row r="391" ht="15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55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</row>
    <row r="392" ht="15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55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</row>
    <row r="393" ht="15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55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</row>
    <row r="394" ht="15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55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</row>
    <row r="395" ht="15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55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</row>
    <row r="396" ht="15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55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</row>
    <row r="397" ht="15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55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</row>
    <row r="398" ht="15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55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</row>
    <row r="399" ht="15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55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</row>
    <row r="400" ht="15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55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</row>
    <row r="401" ht="15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55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</row>
    <row r="402" ht="15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55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</row>
    <row r="403" ht="15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55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</row>
    <row r="404" ht="15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55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</row>
    <row r="405" ht="15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55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</row>
    <row r="406" ht="15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55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</row>
    <row r="407" ht="15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55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</row>
    <row r="408" ht="15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55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</row>
    <row r="409" ht="15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55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</row>
    <row r="410" ht="15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55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</row>
    <row r="411" ht="15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55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</row>
    <row r="412" ht="15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55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</row>
    <row r="413" ht="15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55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</row>
    <row r="414" ht="15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55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</row>
    <row r="415" ht="15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55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</row>
    <row r="416" ht="15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55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</row>
    <row r="417" ht="15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55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</row>
    <row r="418" ht="15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55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</row>
    <row r="419" ht="15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55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</row>
    <row r="420" ht="15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55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</row>
    <row r="421" ht="15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55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</row>
    <row r="422" ht="15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55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</row>
    <row r="423" ht="15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55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</row>
    <row r="424" ht="15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55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</row>
    <row r="425" ht="15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55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</row>
    <row r="426" ht="15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55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</row>
    <row r="427" ht="15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55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</row>
    <row r="428" ht="15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55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</row>
    <row r="429" ht="15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55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</row>
    <row r="430" ht="15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55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</row>
    <row r="431" ht="15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55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</row>
    <row r="432" ht="15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55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</row>
    <row r="433" ht="15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55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</row>
    <row r="434" ht="15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55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</row>
    <row r="435" ht="15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55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</row>
    <row r="436" ht="15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55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</row>
    <row r="437" ht="15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55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</row>
    <row r="438" ht="15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55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</row>
    <row r="439" ht="15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55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</row>
    <row r="440" ht="15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55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</row>
    <row r="441" ht="15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55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</row>
    <row r="442" ht="15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55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</row>
    <row r="443" ht="15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55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</row>
    <row r="444" ht="15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55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</row>
    <row r="445" ht="15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55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</row>
    <row r="446" ht="15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55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</row>
    <row r="447" ht="15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55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</row>
    <row r="448" ht="15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55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</row>
    <row r="449" ht="15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55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</row>
    <row r="450" ht="15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55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</row>
    <row r="451" ht="15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55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</row>
    <row r="452" ht="15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55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</row>
    <row r="453" ht="15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55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</row>
    <row r="454" ht="15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55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</row>
    <row r="455" ht="15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55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</row>
    <row r="456" ht="15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55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</row>
    <row r="457" ht="15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55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</row>
    <row r="458" ht="15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55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</row>
    <row r="459" ht="15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55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</row>
    <row r="460" ht="15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55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</row>
    <row r="461" ht="15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55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</row>
    <row r="462" ht="15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55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</row>
    <row r="463" ht="15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55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</row>
    <row r="464" ht="15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55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</row>
    <row r="465" ht="15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55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</row>
    <row r="466" ht="15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55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</row>
    <row r="467" ht="15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55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</row>
    <row r="468" ht="15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55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</row>
    <row r="469" ht="15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55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</row>
    <row r="470" ht="15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55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</row>
    <row r="471" ht="15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55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</row>
    <row r="472" ht="15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55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</row>
    <row r="473" ht="15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55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</row>
    <row r="474" ht="15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55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</row>
    <row r="475" ht="15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55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</row>
    <row r="476" ht="15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55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</row>
    <row r="477" ht="15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55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</row>
    <row r="478" ht="15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55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</row>
    <row r="479" ht="15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55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</row>
    <row r="480" ht="15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55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</row>
    <row r="481" ht="15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55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</row>
    <row r="482" ht="15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55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</row>
    <row r="483" ht="15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55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</row>
    <row r="484" ht="15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55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</row>
    <row r="485" ht="15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55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</row>
    <row r="486" ht="15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55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</row>
    <row r="487" ht="15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55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</row>
    <row r="488" ht="15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55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</row>
    <row r="489" ht="15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55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</row>
    <row r="490" ht="15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55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</row>
    <row r="491" ht="15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55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</row>
    <row r="492" ht="15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55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</row>
    <row r="493" ht="15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55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</row>
    <row r="494" ht="15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55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</row>
    <row r="495" ht="15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55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</row>
    <row r="496" ht="15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55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</row>
    <row r="497" ht="15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55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</row>
    <row r="498" ht="15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55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</row>
    <row r="499" ht="15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55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</row>
    <row r="500" ht="15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55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</row>
    <row r="501" ht="15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55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</row>
    <row r="502" ht="15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55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</row>
    <row r="503" ht="15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55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</row>
    <row r="504" ht="15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55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</row>
    <row r="505" ht="15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55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</row>
    <row r="506" ht="15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55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</row>
    <row r="507" ht="15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55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</row>
    <row r="508" ht="15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55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</row>
    <row r="509" ht="15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55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</row>
    <row r="510" ht="15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55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</row>
    <row r="511" ht="15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55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</row>
    <row r="512" ht="15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55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</row>
    <row r="513" ht="15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55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</row>
    <row r="514" ht="15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55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</row>
    <row r="515" ht="15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55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</row>
    <row r="516" ht="15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55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</row>
    <row r="517" ht="15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55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</row>
    <row r="518" ht="15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55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</row>
    <row r="519" ht="15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55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</row>
    <row r="520" ht="15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55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</row>
    <row r="521" ht="15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55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</row>
    <row r="522" ht="15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55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</row>
    <row r="523" ht="15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55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</row>
    <row r="524" ht="15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55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</row>
    <row r="525" ht="15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55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</row>
    <row r="526" ht="15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55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</row>
    <row r="527" ht="15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55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</row>
    <row r="528" ht="15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55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</row>
    <row r="529" ht="15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55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</row>
    <row r="530" ht="15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55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</row>
    <row r="531" ht="15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55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</row>
    <row r="532" ht="15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55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</row>
    <row r="533" ht="15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55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</row>
    <row r="534" ht="15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55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</row>
    <row r="535" ht="15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55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</row>
    <row r="536" ht="15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55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</row>
    <row r="537" ht="15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55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</row>
    <row r="538" ht="15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55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</row>
    <row r="539" ht="15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55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</row>
    <row r="540" ht="15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55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</row>
    <row r="541" ht="15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55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</row>
    <row r="542" ht="15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55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</row>
    <row r="543" ht="15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55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</row>
    <row r="544" ht="15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55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</row>
    <row r="545" ht="15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55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</row>
    <row r="546" ht="15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55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</row>
    <row r="547" ht="15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55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</row>
    <row r="548" ht="15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55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</row>
    <row r="549" ht="15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55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</row>
    <row r="550" ht="15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55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</row>
    <row r="551" ht="15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55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</row>
    <row r="552" ht="15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55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</row>
    <row r="553" ht="15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55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</row>
    <row r="554" ht="15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55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</row>
    <row r="555" ht="15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55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</row>
    <row r="556" ht="15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55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</row>
    <row r="557" ht="15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55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</row>
    <row r="558" ht="15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55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</row>
    <row r="559" ht="15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55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</row>
    <row r="560" ht="15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55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</row>
    <row r="561" ht="15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55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</row>
    <row r="562" ht="15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55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</row>
    <row r="563" ht="15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55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</row>
    <row r="564" ht="15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55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</row>
    <row r="565" ht="15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55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</row>
    <row r="566" ht="15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55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</row>
    <row r="567" ht="15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55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</row>
    <row r="568" ht="15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55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</row>
    <row r="569" ht="15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55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</row>
    <row r="570" ht="15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55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</row>
    <row r="571" ht="15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55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</row>
    <row r="572" ht="15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55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</row>
    <row r="573" ht="15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55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</row>
    <row r="574" ht="15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55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</row>
    <row r="575" ht="15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55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</row>
    <row r="576" ht="15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55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</row>
    <row r="577" ht="15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55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</row>
    <row r="578" ht="15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55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</row>
    <row r="579" ht="15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55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</row>
    <row r="580" ht="15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55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</row>
    <row r="581" ht="15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55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</row>
    <row r="582" ht="15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55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</row>
    <row r="583" ht="15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55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</row>
    <row r="584" ht="15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55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</row>
    <row r="585" ht="15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55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</row>
    <row r="586" ht="15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55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</row>
    <row r="587" ht="15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55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</row>
    <row r="588" ht="15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55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</row>
    <row r="589" ht="15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55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</row>
    <row r="590" ht="15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55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</row>
    <row r="591" ht="15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55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</row>
    <row r="592" ht="15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55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</row>
    <row r="593" ht="15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55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</row>
    <row r="594" ht="15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55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</row>
    <row r="595" ht="15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55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</row>
    <row r="596" ht="15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55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</row>
    <row r="597" ht="15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55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</row>
    <row r="598" ht="15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55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</row>
    <row r="599" ht="15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55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</row>
    <row r="600" ht="15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55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</row>
    <row r="601" ht="15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55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</row>
    <row r="602" ht="15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55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</row>
    <row r="603" ht="15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55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</row>
    <row r="604" ht="15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55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</row>
    <row r="605" ht="15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55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</row>
    <row r="606" ht="15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55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</row>
    <row r="607" ht="15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55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</row>
    <row r="608" ht="15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55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</row>
    <row r="609" ht="15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55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</row>
    <row r="610" ht="15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55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</row>
    <row r="611" ht="15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55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</row>
    <row r="612" ht="15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55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</row>
    <row r="613" ht="15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55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</row>
    <row r="614" ht="15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55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</row>
    <row r="615" ht="15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55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</row>
    <row r="616" ht="15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55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</row>
    <row r="617" ht="15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55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</row>
    <row r="618" ht="15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55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</row>
    <row r="619" ht="15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55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</row>
    <row r="620" ht="15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55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</row>
    <row r="621" ht="15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55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</row>
    <row r="622" ht="15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55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</row>
    <row r="623" ht="15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55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</row>
    <row r="624" ht="15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55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</row>
    <row r="625" ht="15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55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</row>
    <row r="626" ht="15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55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</row>
    <row r="627" ht="15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55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</row>
    <row r="628" ht="15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55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</row>
    <row r="629" ht="15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55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</row>
    <row r="630" ht="15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55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</row>
    <row r="631" ht="15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55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</row>
    <row r="632" ht="15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55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</row>
    <row r="633" ht="15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55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</row>
    <row r="634" ht="15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55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</row>
    <row r="635" ht="15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55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</row>
    <row r="636" ht="15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55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</row>
    <row r="637" ht="15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55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</row>
    <row r="638" ht="15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55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</row>
    <row r="639" ht="15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55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</row>
    <row r="640" ht="15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55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</row>
    <row r="641" ht="15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55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</row>
    <row r="642" ht="15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55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</row>
    <row r="643" ht="15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55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</row>
    <row r="644" ht="15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55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</row>
    <row r="645" ht="15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55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</row>
    <row r="646" ht="15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55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</row>
    <row r="647" ht="15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55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</row>
    <row r="648" ht="15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55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</row>
    <row r="649" ht="15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55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</row>
    <row r="650" ht="15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55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</row>
    <row r="651" ht="15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55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</row>
    <row r="652" ht="15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55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</row>
    <row r="653" ht="15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55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</row>
    <row r="654" ht="15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55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</row>
    <row r="655" ht="15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55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</row>
    <row r="656" ht="15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55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</row>
    <row r="657" ht="15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55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</row>
    <row r="658" ht="15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55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</row>
    <row r="659" ht="15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55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</row>
    <row r="660" ht="15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55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</row>
    <row r="661" ht="15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55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</row>
    <row r="662" ht="15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55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</row>
    <row r="663" ht="15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55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</row>
    <row r="664" ht="15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55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</row>
    <row r="665" ht="15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55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</row>
    <row r="666" ht="15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55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</row>
    <row r="667" ht="15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55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</row>
    <row r="668" ht="15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55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</row>
    <row r="669" ht="15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55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</row>
    <row r="670" ht="15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55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</row>
    <row r="671" ht="15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55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</row>
    <row r="672" ht="15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55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</row>
    <row r="673" ht="15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55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</row>
    <row r="674" ht="15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55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</row>
    <row r="675" ht="15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55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</row>
    <row r="676" ht="15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55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</row>
    <row r="677" ht="15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55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</row>
    <row r="678" ht="15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55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</row>
    <row r="679" ht="15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55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</row>
    <row r="680" ht="15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55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</row>
    <row r="681" ht="15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55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</row>
    <row r="682" ht="15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55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</row>
    <row r="683" ht="15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55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</row>
    <row r="684" ht="15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55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</row>
    <row r="685" ht="15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55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</row>
    <row r="686" ht="15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55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</row>
    <row r="687" ht="15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55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</row>
    <row r="688" ht="15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55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</row>
    <row r="689" ht="15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55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</row>
    <row r="690" ht="15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55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</row>
    <row r="691" ht="15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55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</row>
    <row r="692" ht="15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55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</row>
    <row r="693" ht="15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55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</row>
    <row r="694" ht="15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55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</row>
    <row r="695" ht="15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55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</row>
    <row r="696" ht="15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55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</row>
    <row r="697" ht="15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55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</row>
    <row r="698" ht="15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55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</row>
    <row r="699" ht="15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55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</row>
    <row r="700" ht="15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55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</row>
    <row r="701" ht="15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55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</row>
    <row r="702" ht="15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55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</row>
    <row r="703" ht="15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55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</row>
    <row r="704" ht="15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55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</row>
    <row r="705" ht="15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55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</row>
    <row r="706" ht="15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55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</row>
    <row r="707" ht="15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55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</row>
    <row r="708" ht="15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55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</row>
    <row r="709" ht="15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55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</row>
    <row r="710" ht="15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55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</row>
    <row r="711" ht="15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55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</row>
    <row r="712" ht="15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55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</row>
    <row r="713" ht="15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55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</row>
    <row r="714" ht="15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55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</row>
    <row r="715" ht="15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55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</row>
    <row r="716" ht="15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55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</row>
    <row r="717" ht="15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55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</row>
    <row r="718" ht="15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55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</row>
    <row r="719" ht="15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55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</row>
    <row r="720" ht="15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55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</row>
    <row r="721" ht="15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55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</row>
    <row r="722" ht="15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55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</row>
    <row r="723" ht="15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55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</row>
    <row r="724" ht="15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55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</row>
    <row r="725" ht="15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55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</row>
    <row r="726" ht="15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55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</row>
    <row r="727" ht="15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55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</row>
    <row r="728" ht="15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55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</row>
    <row r="729" ht="15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55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</row>
    <row r="730" ht="15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55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</row>
    <row r="731" ht="15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55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</row>
    <row r="732" ht="15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55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</row>
    <row r="733" ht="15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55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</row>
    <row r="734" ht="15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55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</row>
    <row r="735" ht="15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55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</row>
    <row r="736" ht="15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55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</row>
    <row r="737" ht="15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55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</row>
    <row r="738" ht="15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55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</row>
    <row r="739" ht="15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55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</row>
    <row r="740" ht="15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55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</row>
    <row r="741" ht="15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55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</row>
    <row r="742" ht="15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55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</row>
    <row r="743" ht="15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55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</row>
    <row r="744" ht="15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55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</row>
    <row r="745" ht="15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55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</row>
    <row r="746" ht="15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55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</row>
    <row r="747" ht="15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55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</row>
    <row r="748" ht="15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55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</row>
    <row r="749" ht="15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55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</row>
    <row r="750" ht="15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55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</row>
    <row r="751" ht="15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55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</row>
    <row r="752" ht="15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55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</row>
    <row r="753" ht="15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55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</row>
    <row r="754" ht="15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55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</row>
    <row r="755" ht="15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55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</row>
    <row r="756" ht="15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55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</row>
    <row r="757" ht="15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55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</row>
    <row r="758" ht="15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55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</row>
    <row r="759" ht="15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55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</row>
    <row r="760" ht="15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55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</row>
    <row r="761" ht="15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55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</row>
    <row r="762" ht="15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55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</row>
    <row r="763" ht="15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55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</row>
    <row r="764" ht="15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55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</row>
    <row r="765" ht="15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55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</row>
    <row r="766" ht="15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55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</row>
    <row r="767" ht="15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55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</row>
    <row r="768" ht="15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55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</row>
    <row r="769" ht="15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55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</row>
    <row r="770" ht="15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55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</row>
    <row r="771" ht="15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55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</row>
    <row r="772" ht="15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55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</row>
    <row r="773" ht="15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55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</row>
    <row r="774" ht="15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55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</row>
    <row r="775" ht="15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55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</row>
    <row r="776" ht="15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55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</row>
    <row r="777" ht="15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55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</row>
    <row r="778" ht="15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55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</row>
    <row r="779" ht="15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55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</row>
    <row r="780" ht="15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55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</row>
    <row r="781" ht="15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55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</row>
    <row r="782" ht="15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55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</row>
    <row r="783" ht="15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55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</row>
    <row r="784" ht="15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55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</row>
    <row r="785" ht="15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55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</row>
    <row r="786" ht="15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55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</row>
    <row r="787" ht="15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55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</row>
    <row r="788" ht="15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55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</row>
    <row r="789" ht="15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55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</row>
    <row r="790" ht="15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55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</row>
    <row r="791" ht="15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55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</row>
    <row r="792" ht="15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55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</row>
    <row r="793" ht="15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55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</row>
    <row r="794" ht="15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55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</row>
    <row r="795" ht="15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55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</row>
    <row r="796" ht="15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55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</row>
    <row r="797" ht="15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55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</row>
    <row r="798" ht="15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55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</row>
    <row r="799" ht="15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55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</row>
    <row r="800" ht="15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55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</row>
    <row r="801" ht="15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55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</row>
    <row r="802" ht="15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55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</row>
    <row r="803" ht="15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55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</row>
    <row r="804" ht="15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55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</row>
    <row r="805" ht="15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55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</row>
    <row r="806" ht="15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55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</row>
    <row r="807" ht="15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55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</row>
    <row r="808" ht="15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55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</row>
    <row r="809" ht="15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55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</row>
    <row r="810" ht="15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55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</row>
    <row r="811" ht="15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55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</row>
    <row r="812" ht="15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55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</row>
    <row r="813" ht="15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55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</row>
    <row r="814" ht="15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55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</row>
    <row r="815" ht="15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55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</row>
    <row r="816" ht="15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55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</row>
    <row r="817" ht="15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55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</row>
    <row r="818" ht="15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55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</row>
    <row r="819" ht="15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55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</row>
    <row r="820" ht="15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55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</row>
    <row r="821" ht="15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55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</row>
    <row r="822" ht="15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55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</row>
    <row r="823" ht="15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55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</row>
    <row r="824" ht="15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55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</row>
    <row r="825" ht="15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55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</row>
    <row r="826" ht="15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55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</row>
    <row r="827" ht="15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55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</row>
    <row r="828" ht="15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55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</row>
    <row r="829" ht="15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55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</row>
    <row r="830" ht="15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55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</row>
    <row r="831" ht="15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55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</row>
    <row r="832" ht="15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55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</row>
    <row r="833" ht="15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55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</row>
    <row r="834" ht="15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55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</row>
    <row r="835" ht="15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55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</row>
    <row r="836" ht="15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55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</row>
    <row r="837" ht="15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55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</row>
    <row r="838" ht="15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55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</row>
    <row r="839" ht="15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55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</row>
    <row r="840" ht="15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55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</row>
    <row r="841" ht="15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55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</row>
    <row r="842" ht="15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55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</row>
    <row r="843" ht="15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55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</row>
    <row r="844" ht="15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55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</row>
    <row r="845" ht="15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55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  <c r="AG845" s="118"/>
    </row>
    <row r="846" ht="15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55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  <c r="AG846" s="118"/>
    </row>
    <row r="847" ht="15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55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  <c r="AG847" s="118"/>
    </row>
    <row r="848" ht="15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55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  <c r="AG848" s="118"/>
    </row>
    <row r="849" ht="15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55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  <c r="AG849" s="118"/>
    </row>
    <row r="850" ht="15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55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  <c r="AG850" s="118"/>
    </row>
    <row r="851" ht="15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55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  <c r="AG851" s="118"/>
    </row>
    <row r="852" ht="15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55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  <c r="AG852" s="118"/>
    </row>
    <row r="853" ht="15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55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  <c r="AG853" s="118"/>
    </row>
    <row r="854" ht="15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55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  <c r="AG854" s="118"/>
    </row>
    <row r="855" ht="15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55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  <c r="AG855" s="118"/>
    </row>
    <row r="856" ht="15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55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</row>
    <row r="857" ht="15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55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</row>
    <row r="858" ht="15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55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</row>
    <row r="859" ht="15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55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</row>
    <row r="860" ht="15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55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</row>
    <row r="861" ht="15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55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</row>
    <row r="862" ht="15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55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</row>
    <row r="863" ht="15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55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</row>
    <row r="864" ht="15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55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</row>
    <row r="865" ht="15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55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</row>
    <row r="866" ht="15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55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</row>
    <row r="867" ht="15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55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</row>
    <row r="868" ht="15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55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</row>
    <row r="869" ht="15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55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</row>
    <row r="870" ht="15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55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</row>
    <row r="871" ht="15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55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</row>
    <row r="872" ht="15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55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</row>
    <row r="873" ht="15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55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</row>
    <row r="874" ht="15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55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</row>
    <row r="875" ht="15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55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</row>
    <row r="876" ht="15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55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</row>
    <row r="877" ht="15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55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  <c r="AG877" s="118"/>
    </row>
    <row r="878" ht="15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55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  <c r="AG878" s="118"/>
    </row>
    <row r="879" ht="15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55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  <c r="AG879" s="118"/>
    </row>
    <row r="880" ht="15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55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  <c r="AG880" s="118"/>
    </row>
    <row r="881" ht="15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55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  <c r="AG881" s="118"/>
    </row>
    <row r="882" ht="15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55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  <c r="AG882" s="118"/>
    </row>
    <row r="883" ht="15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55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  <c r="AG883" s="118"/>
    </row>
    <row r="884" ht="15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55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  <c r="AG884" s="118"/>
    </row>
    <row r="885" ht="15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55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  <c r="AG885" s="118"/>
    </row>
    <row r="886" ht="15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55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  <c r="AG886" s="118"/>
    </row>
    <row r="887" ht="15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55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</row>
    <row r="888" ht="15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55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  <c r="AG888" s="118"/>
    </row>
    <row r="889" ht="15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55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  <c r="AG889" s="118"/>
    </row>
    <row r="890" ht="15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55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  <c r="AG890" s="118"/>
    </row>
    <row r="891" ht="15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55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  <c r="AG891" s="118"/>
    </row>
    <row r="892" ht="15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55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  <c r="AG892" s="118"/>
    </row>
    <row r="893" ht="15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55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  <c r="AG893" s="118"/>
    </row>
    <row r="894" ht="15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55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  <c r="AG894" s="118"/>
    </row>
    <row r="895" ht="15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55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  <c r="AG895" s="118"/>
    </row>
    <row r="896" ht="15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55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  <c r="AG896" s="118"/>
    </row>
    <row r="897" ht="15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55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  <c r="AG897" s="118"/>
    </row>
    <row r="898" ht="15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55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  <c r="AG898" s="118"/>
    </row>
    <row r="899" ht="15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55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  <c r="AG899" s="118"/>
    </row>
    <row r="900" ht="15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55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  <c r="AG900" s="118"/>
    </row>
    <row r="901" ht="15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55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  <c r="AG901" s="118"/>
    </row>
    <row r="902" ht="15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55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  <c r="AG902" s="118"/>
    </row>
    <row r="903" ht="15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55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  <c r="AG903" s="118"/>
    </row>
    <row r="904" ht="15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55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  <c r="AG904" s="118"/>
    </row>
    <row r="905" ht="15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55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  <c r="AG905" s="118"/>
    </row>
    <row r="906" ht="15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55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  <c r="AG906" s="118"/>
    </row>
    <row r="907" ht="15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55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  <c r="AG907" s="118"/>
    </row>
    <row r="908" ht="15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55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  <c r="AG908" s="118"/>
    </row>
    <row r="909" ht="15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55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  <c r="AG909" s="118"/>
    </row>
    <row r="910" ht="15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55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  <c r="AG910" s="118"/>
    </row>
    <row r="911" ht="15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55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  <c r="AG911" s="118"/>
    </row>
    <row r="912" ht="15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55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  <c r="AG912" s="118"/>
    </row>
    <row r="913" ht="15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55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  <c r="AG913" s="118"/>
    </row>
    <row r="914" ht="15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55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  <c r="AG914" s="118"/>
    </row>
    <row r="915" ht="15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55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  <c r="AG915" s="118"/>
    </row>
    <row r="916" ht="15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55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  <c r="AG916" s="118"/>
    </row>
    <row r="917" ht="15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55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  <c r="AG917" s="118"/>
    </row>
    <row r="918" ht="15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55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  <c r="AG918" s="118"/>
    </row>
    <row r="919" ht="15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55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  <c r="AG919" s="118"/>
    </row>
    <row r="920" ht="15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55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  <c r="AG920" s="118"/>
    </row>
    <row r="921" ht="15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55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  <c r="AG921" s="118"/>
    </row>
    <row r="922" ht="15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55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  <c r="AG922" s="118"/>
    </row>
    <row r="923" ht="15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55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  <c r="AG923" s="118"/>
    </row>
    <row r="924" ht="15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55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  <c r="AG924" s="118"/>
    </row>
    <row r="925" ht="15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55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  <c r="AG925" s="118"/>
    </row>
    <row r="926" ht="15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55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  <c r="AG926" s="118"/>
    </row>
    <row r="927" ht="15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55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  <c r="AG927" s="118"/>
    </row>
    <row r="928" ht="15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55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  <c r="AF928" s="118"/>
      <c r="AG928" s="118"/>
    </row>
    <row r="929" ht="15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55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  <c r="AF929" s="118"/>
      <c r="AG929" s="118"/>
    </row>
    <row r="930" ht="15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55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  <c r="AF930" s="118"/>
      <c r="AG930" s="118"/>
    </row>
    <row r="931" ht="15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55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  <c r="AF931" s="118"/>
      <c r="AG931" s="118"/>
    </row>
    <row r="932" ht="15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55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  <c r="AF932" s="118"/>
      <c r="AG932" s="118"/>
    </row>
    <row r="933" ht="15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55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  <c r="AF933" s="118"/>
      <c r="AG933" s="118"/>
    </row>
    <row r="934" ht="15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55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  <c r="AF934" s="118"/>
      <c r="AG934" s="118"/>
    </row>
    <row r="935" ht="15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55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  <c r="AF935" s="118"/>
      <c r="AG935" s="118"/>
    </row>
    <row r="936" ht="15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55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  <c r="AF936" s="118"/>
      <c r="AG936" s="118"/>
    </row>
    <row r="937" ht="15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55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  <c r="AF937" s="118"/>
      <c r="AG937" s="118"/>
    </row>
    <row r="938" ht="15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55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  <c r="AF938" s="118"/>
      <c r="AG938" s="118"/>
    </row>
    <row r="939" ht="15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55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  <c r="AF939" s="118"/>
      <c r="AG939" s="118"/>
    </row>
    <row r="940" ht="15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55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  <c r="AF940" s="118"/>
      <c r="AG940" s="118"/>
    </row>
    <row r="941" ht="15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55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  <c r="AF941" s="118"/>
      <c r="AG941" s="118"/>
    </row>
    <row r="942" ht="15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55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  <c r="AF942" s="118"/>
      <c r="AG942" s="118"/>
    </row>
    <row r="943" ht="15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55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  <c r="AF943" s="118"/>
      <c r="AG943" s="118"/>
    </row>
    <row r="944" ht="15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55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  <c r="AG944" s="118"/>
    </row>
    <row r="945" ht="15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55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  <c r="AG945" s="118"/>
    </row>
    <row r="946" ht="15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55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  <c r="AG946" s="118"/>
    </row>
    <row r="947" ht="15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55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  <c r="AG947" s="118"/>
    </row>
    <row r="948" ht="15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55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  <c r="AG948" s="118"/>
    </row>
    <row r="949" ht="15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55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  <c r="AG949" s="118"/>
    </row>
    <row r="950" ht="15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55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  <c r="AG950" s="118"/>
    </row>
    <row r="951" ht="15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55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  <c r="AG951" s="118"/>
    </row>
    <row r="952" ht="15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55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  <c r="AG952" s="118"/>
    </row>
    <row r="953" ht="15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55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  <c r="AG953" s="118"/>
    </row>
    <row r="954" ht="15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55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  <c r="AG954" s="118"/>
    </row>
    <row r="955" ht="15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55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  <c r="AG955" s="118"/>
    </row>
    <row r="956" ht="15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55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  <c r="AG956" s="118"/>
    </row>
    <row r="957" ht="15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55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  <c r="AG957" s="118"/>
    </row>
    <row r="958" ht="15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55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  <c r="AG958" s="118"/>
    </row>
    <row r="959" ht="15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55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  <c r="AG959" s="118"/>
    </row>
    <row r="960" ht="15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55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  <c r="AG960" s="118"/>
    </row>
    <row r="961" ht="15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55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  <c r="AG961" s="118"/>
    </row>
    <row r="962" ht="15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55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  <c r="AG962" s="118"/>
    </row>
    <row r="963" ht="15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55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  <c r="AG963" s="118"/>
    </row>
    <row r="964" ht="15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55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  <c r="AG964" s="118"/>
    </row>
    <row r="965" ht="15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55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  <c r="AG965" s="118"/>
    </row>
    <row r="966" ht="15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55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  <c r="AG966" s="118"/>
    </row>
    <row r="967" ht="15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55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  <c r="AG967" s="118"/>
    </row>
    <row r="968" ht="15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55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  <c r="AG968" s="118"/>
    </row>
    <row r="969" ht="15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55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  <c r="AG969" s="118"/>
    </row>
    <row r="970" ht="15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55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  <c r="AG970" s="118"/>
    </row>
    <row r="971" ht="15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55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  <c r="AG971" s="118"/>
    </row>
    <row r="972" ht="15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55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  <c r="AG972" s="118"/>
    </row>
    <row r="973" ht="15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55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  <c r="AG973" s="118"/>
    </row>
    <row r="974" ht="15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55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  <c r="AG974" s="118"/>
    </row>
    <row r="975" ht="15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55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  <c r="AG975" s="118"/>
    </row>
    <row r="976" ht="15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55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  <c r="AG976" s="118"/>
    </row>
    <row r="977" ht="15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55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  <c r="AG977" s="118"/>
    </row>
    <row r="978" ht="15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55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  <c r="AG978" s="118"/>
    </row>
    <row r="979" ht="15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55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  <c r="AG979" s="118"/>
    </row>
    <row r="980" ht="15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55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  <c r="AG980" s="118"/>
    </row>
    <row r="981" ht="15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55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  <c r="AG981" s="118"/>
    </row>
    <row r="982" ht="15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55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  <c r="AG982" s="118"/>
    </row>
    <row r="983" ht="15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55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  <c r="AG983" s="118"/>
    </row>
    <row r="984" ht="15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55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  <c r="AG984" s="118"/>
    </row>
    <row r="985" ht="15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55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  <c r="AG985" s="118"/>
    </row>
    <row r="986" ht="15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55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  <c r="AG986" s="118"/>
    </row>
    <row r="987" ht="15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55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  <c r="AG987" s="118"/>
    </row>
    <row r="988" ht="15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55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  <c r="AG988" s="118"/>
    </row>
    <row r="989" ht="15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55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  <c r="AF989" s="118"/>
      <c r="AG989" s="118"/>
    </row>
    <row r="990" ht="15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55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  <c r="AG990" s="118"/>
    </row>
    <row r="991" ht="15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55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  <c r="AF991" s="118"/>
      <c r="AG991" s="118"/>
    </row>
    <row r="992" ht="15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55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  <c r="AF992" s="118"/>
      <c r="AG992" s="118"/>
    </row>
    <row r="993" ht="15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55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  <c r="AF993" s="118"/>
      <c r="AG993" s="118"/>
    </row>
    <row r="994" ht="15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55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  <c r="AF994" s="118"/>
      <c r="AG994" s="118"/>
    </row>
    <row r="995" ht="15.7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55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  <c r="AF995" s="118"/>
      <c r="AG995" s="118"/>
    </row>
    <row r="996" ht="15.7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55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  <c r="AF996" s="118"/>
      <c r="AG996" s="118"/>
    </row>
    <row r="997" ht="15.7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55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  <c r="AF997" s="118"/>
      <c r="AG997" s="118"/>
    </row>
    <row r="998" ht="15.7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55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  <c r="AF998" s="118"/>
      <c r="AG998" s="118"/>
    </row>
    <row r="999" ht="15.75" customHeight="1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55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  <c r="AE999" s="118"/>
      <c r="AF999" s="118"/>
      <c r="AG999" s="118"/>
    </row>
    <row r="1000" ht="15.75" customHeight="1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55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18"/>
      <c r="AC1000" s="118"/>
      <c r="AD1000" s="118"/>
      <c r="AE1000" s="118"/>
      <c r="AF1000" s="118"/>
      <c r="AG1000" s="118"/>
    </row>
    <row r="1001" ht="15.75" customHeight="1">
      <c r="A1001" s="118"/>
      <c r="B1001" s="118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  <c r="AA1001" s="118"/>
      <c r="AB1001" s="118"/>
      <c r="AC1001" s="118"/>
      <c r="AD1001" s="118"/>
      <c r="AE1001" s="118"/>
      <c r="AF1001" s="118"/>
      <c r="AG1001" s="118"/>
    </row>
    <row r="1002" ht="15.75" customHeight="1">
      <c r="A1002" s="118"/>
      <c r="B1002" s="118"/>
      <c r="C1002" s="118"/>
      <c r="D1002" s="118"/>
      <c r="E1002" s="118"/>
      <c r="F1002" s="118"/>
      <c r="G1002" s="118"/>
      <c r="H1002" s="118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  <c r="AA1002" s="118"/>
      <c r="AB1002" s="118"/>
      <c r="AC1002" s="118"/>
      <c r="AD1002" s="118"/>
      <c r="AE1002" s="118"/>
      <c r="AF1002" s="118"/>
      <c r="AG1002" s="118"/>
    </row>
    <row r="1003" ht="15.75" customHeight="1">
      <c r="A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  <c r="Y1003" s="118"/>
      <c r="Z1003" s="118"/>
      <c r="AA1003" s="118"/>
      <c r="AB1003" s="118"/>
      <c r="AC1003" s="118"/>
      <c r="AD1003" s="118"/>
      <c r="AE1003" s="118"/>
      <c r="AF1003" s="118"/>
      <c r="AG1003" s="118"/>
    </row>
  </sheetData>
  <mergeCells count="25">
    <mergeCell ref="B1:J1"/>
    <mergeCell ref="K1:M1"/>
    <mergeCell ref="R2:S2"/>
    <mergeCell ref="R3:S3"/>
    <mergeCell ref="R5:S5"/>
    <mergeCell ref="R6:S6"/>
    <mergeCell ref="R7:S7"/>
    <mergeCell ref="R8:S8"/>
    <mergeCell ref="R9:S9"/>
    <mergeCell ref="R11:S11"/>
    <mergeCell ref="R12:S12"/>
    <mergeCell ref="R13:S13"/>
    <mergeCell ref="R14:S14"/>
    <mergeCell ref="R15:S15"/>
    <mergeCell ref="R24:S24"/>
    <mergeCell ref="R25:S25"/>
    <mergeCell ref="R26:S26"/>
    <mergeCell ref="Q31:S31"/>
    <mergeCell ref="R16:S16"/>
    <mergeCell ref="R17:S17"/>
    <mergeCell ref="R18:S18"/>
    <mergeCell ref="R19:S19"/>
    <mergeCell ref="R20:S20"/>
    <mergeCell ref="Q22:S22"/>
    <mergeCell ref="R23:S23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1.43"/>
    <col customWidth="1" min="2" max="2" width="14.71"/>
    <col customWidth="1" min="3" max="3" width="16.57"/>
    <col customWidth="1" min="4" max="4" width="21.57"/>
    <col customWidth="1" min="5" max="5" width="13.29"/>
    <col customWidth="1" min="6" max="6" width="7.43"/>
    <col customWidth="1" min="7" max="7" width="13.29"/>
    <col customWidth="1" min="8" max="8" width="13.57"/>
    <col customWidth="1" min="9" max="9" width="5.86"/>
    <col customWidth="1" min="10" max="10" width="14.0"/>
    <col customWidth="1" min="11" max="11" width="8.0"/>
    <col customWidth="1" min="12" max="12" width="6.71"/>
    <col customWidth="1" min="13" max="13" width="8.43"/>
    <col customWidth="1" min="14" max="14" width="8.71"/>
    <col customWidth="1" min="15" max="15" width="6.86"/>
    <col customWidth="1" min="16" max="16" width="16.0"/>
    <col customWidth="1" min="17" max="17" width="8.86"/>
    <col customWidth="1" min="18" max="18" width="11.57"/>
    <col customWidth="1" min="19" max="33" width="8.86"/>
  </cols>
  <sheetData>
    <row r="1" ht="40.5" customHeight="1">
      <c r="A1" s="119"/>
      <c r="B1" s="2" t="s">
        <v>656</v>
      </c>
      <c r="C1" s="3"/>
      <c r="D1" s="3"/>
      <c r="E1" s="3"/>
      <c r="F1" s="3"/>
      <c r="G1" s="3"/>
      <c r="H1" s="3"/>
      <c r="I1" s="3"/>
      <c r="J1" s="4"/>
      <c r="K1" s="5" t="s">
        <v>1</v>
      </c>
      <c r="L1" s="3"/>
      <c r="M1" s="4"/>
      <c r="N1" s="311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</row>
    <row r="2" ht="38.25" customHeight="1">
      <c r="A2" s="8" t="s">
        <v>2</v>
      </c>
      <c r="B2" s="11" t="s">
        <v>3</v>
      </c>
      <c r="C2" s="12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3" t="s">
        <v>12</v>
      </c>
      <c r="L2" s="13" t="s">
        <v>13</v>
      </c>
      <c r="M2" s="13" t="s">
        <v>14</v>
      </c>
      <c r="N2" s="333" t="s">
        <v>15</v>
      </c>
      <c r="O2" s="334" t="s">
        <v>16</v>
      </c>
      <c r="P2" s="221" t="s">
        <v>17</v>
      </c>
      <c r="Q2" s="124" t="s">
        <v>18</v>
      </c>
      <c r="R2" s="53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</row>
    <row r="3" outlineLevel="1">
      <c r="A3" s="19" t="b">
        <v>0</v>
      </c>
      <c r="B3" s="125" t="s">
        <v>657</v>
      </c>
      <c r="C3" s="126" t="s">
        <v>26</v>
      </c>
      <c r="D3" s="125" t="s">
        <v>21</v>
      </c>
      <c r="E3" s="126">
        <v>8.0</v>
      </c>
      <c r="F3" s="125">
        <v>2.0</v>
      </c>
      <c r="G3" s="125" t="s">
        <v>30</v>
      </c>
      <c r="H3" s="125" t="s">
        <v>31</v>
      </c>
      <c r="I3" s="125" t="s">
        <v>31</v>
      </c>
      <c r="J3" s="208">
        <v>45887.0</v>
      </c>
      <c r="K3" s="19" t="b">
        <v>1</v>
      </c>
      <c r="L3" s="19" t="b">
        <v>1</v>
      </c>
      <c r="M3" s="19" t="b">
        <v>1</v>
      </c>
      <c r="N3" s="19" t="b">
        <v>1</v>
      </c>
      <c r="O3" s="19" t="b">
        <v>1</v>
      </c>
      <c r="P3" s="125" t="s">
        <v>27</v>
      </c>
      <c r="Q3" s="127" t="s">
        <v>28</v>
      </c>
      <c r="R3" s="33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</row>
    <row r="4" outlineLevel="1">
      <c r="A4" s="19" t="b">
        <v>0</v>
      </c>
      <c r="B4" s="34" t="s">
        <v>658</v>
      </c>
      <c r="C4" s="35" t="s">
        <v>26</v>
      </c>
      <c r="D4" s="34" t="s">
        <v>238</v>
      </c>
      <c r="E4" s="34">
        <v>0.0</v>
      </c>
      <c r="F4" s="34">
        <v>0.0</v>
      </c>
      <c r="G4" s="34">
        <v>0.0</v>
      </c>
      <c r="H4" s="34" t="s">
        <v>31</v>
      </c>
      <c r="I4" s="34" t="s">
        <v>23</v>
      </c>
      <c r="J4" s="149">
        <v>45896.0</v>
      </c>
      <c r="K4" s="19" t="b">
        <v>1</v>
      </c>
      <c r="L4" s="19" t="b">
        <v>0</v>
      </c>
      <c r="M4" s="19" t="b">
        <v>0</v>
      </c>
      <c r="N4" s="19" t="b">
        <v>0</v>
      </c>
      <c r="O4" s="19" t="b">
        <v>0</v>
      </c>
      <c r="P4" s="34" t="s">
        <v>128</v>
      </c>
      <c r="Q4" s="129" t="s">
        <v>141</v>
      </c>
      <c r="R4" s="39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</row>
    <row r="5" outlineLevel="1">
      <c r="A5" s="19" t="b">
        <v>0</v>
      </c>
      <c r="B5" s="34" t="s">
        <v>659</v>
      </c>
      <c r="C5" s="35" t="s">
        <v>20</v>
      </c>
      <c r="D5" s="34" t="s">
        <v>21</v>
      </c>
      <c r="E5" s="34">
        <v>2.5</v>
      </c>
      <c r="F5" s="34">
        <v>2.0</v>
      </c>
      <c r="G5" s="34" t="s">
        <v>70</v>
      </c>
      <c r="H5" s="34" t="s">
        <v>23</v>
      </c>
      <c r="I5" s="34" t="s">
        <v>23</v>
      </c>
      <c r="J5" s="335">
        <v>45891.0</v>
      </c>
      <c r="K5" s="19" t="b">
        <v>1</v>
      </c>
      <c r="L5" s="19" t="b">
        <v>0</v>
      </c>
      <c r="M5" s="19" t="b">
        <v>1</v>
      </c>
      <c r="N5" s="19" t="b">
        <v>1</v>
      </c>
      <c r="O5" s="19" t="b">
        <v>0</v>
      </c>
      <c r="P5" s="34" t="s">
        <v>34</v>
      </c>
      <c r="Q5" s="129" t="s">
        <v>35</v>
      </c>
      <c r="R5" s="39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</row>
    <row r="6" outlineLevel="1">
      <c r="A6" s="19" t="b">
        <v>0</v>
      </c>
      <c r="B6" s="34" t="s">
        <v>660</v>
      </c>
      <c r="C6" s="35" t="s">
        <v>20</v>
      </c>
      <c r="D6" s="34" t="s">
        <v>21</v>
      </c>
      <c r="E6" s="34">
        <v>1.0</v>
      </c>
      <c r="F6" s="34">
        <v>1.0</v>
      </c>
      <c r="G6" s="34" t="s">
        <v>22</v>
      </c>
      <c r="H6" s="34" t="s">
        <v>23</v>
      </c>
      <c r="I6" s="34" t="s">
        <v>23</v>
      </c>
      <c r="J6" s="336">
        <v>45897.0</v>
      </c>
      <c r="K6" s="19" t="b">
        <v>1</v>
      </c>
      <c r="L6" s="19" t="b">
        <v>0</v>
      </c>
      <c r="M6" s="19" t="b">
        <v>1</v>
      </c>
      <c r="N6" s="19" t="b">
        <v>1</v>
      </c>
      <c r="O6" s="19" t="b">
        <v>0</v>
      </c>
      <c r="P6" s="34" t="s">
        <v>39</v>
      </c>
      <c r="Q6" s="129" t="s">
        <v>40</v>
      </c>
      <c r="R6" s="39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</row>
    <row r="7" outlineLevel="1">
      <c r="A7" s="19" t="b">
        <v>1</v>
      </c>
      <c r="B7" s="34" t="s">
        <v>450</v>
      </c>
      <c r="C7" s="35" t="s">
        <v>26</v>
      </c>
      <c r="D7" s="34" t="s">
        <v>596</v>
      </c>
      <c r="E7" s="34">
        <v>12.0</v>
      </c>
      <c r="F7" s="34">
        <v>2.0</v>
      </c>
      <c r="G7" s="35" t="s">
        <v>58</v>
      </c>
      <c r="H7" s="34" t="s">
        <v>31</v>
      </c>
      <c r="I7" s="34" t="s">
        <v>31</v>
      </c>
      <c r="J7" s="149">
        <v>45911.0</v>
      </c>
      <c r="K7" s="19" t="b">
        <v>1</v>
      </c>
      <c r="L7" s="19" t="b">
        <v>1</v>
      </c>
      <c r="M7" s="19" t="b">
        <v>1</v>
      </c>
      <c r="N7" s="19" t="b">
        <v>1</v>
      </c>
      <c r="O7" s="19" t="b">
        <v>1</v>
      </c>
      <c r="P7" s="34" t="s">
        <v>42</v>
      </c>
      <c r="Q7" s="129" t="s">
        <v>43</v>
      </c>
      <c r="R7" s="39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</row>
    <row r="8" outlineLevel="1">
      <c r="A8" s="19" t="b">
        <v>0</v>
      </c>
      <c r="B8" s="34" t="s">
        <v>454</v>
      </c>
      <c r="C8" s="35" t="s">
        <v>26</v>
      </c>
      <c r="D8" s="34" t="s">
        <v>21</v>
      </c>
      <c r="E8" s="34">
        <v>2.0</v>
      </c>
      <c r="F8" s="34">
        <v>2.0</v>
      </c>
      <c r="G8" s="34" t="s">
        <v>50</v>
      </c>
      <c r="H8" s="34" t="s">
        <v>23</v>
      </c>
      <c r="I8" s="34" t="s">
        <v>23</v>
      </c>
      <c r="J8" s="149">
        <v>45911.0</v>
      </c>
      <c r="K8" s="19" t="b">
        <v>1</v>
      </c>
      <c r="L8" s="19" t="b">
        <v>0</v>
      </c>
      <c r="M8" s="19" t="b">
        <v>0</v>
      </c>
      <c r="N8" s="19" t="b">
        <v>0</v>
      </c>
      <c r="O8" s="19" t="b">
        <v>0</v>
      </c>
      <c r="P8" s="50" t="s">
        <v>47</v>
      </c>
      <c r="Q8" s="51" t="s">
        <v>48</v>
      </c>
      <c r="R8" s="39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</row>
    <row r="9" outlineLevel="1">
      <c r="A9" s="19" t="b">
        <v>1</v>
      </c>
      <c r="B9" s="34" t="s">
        <v>661</v>
      </c>
      <c r="C9" s="35" t="s">
        <v>20</v>
      </c>
      <c r="D9" s="34" t="s">
        <v>21</v>
      </c>
      <c r="E9" s="34">
        <v>8.0</v>
      </c>
      <c r="F9" s="34">
        <v>2.0</v>
      </c>
      <c r="G9" s="34" t="s">
        <v>45</v>
      </c>
      <c r="H9" s="34" t="s">
        <v>31</v>
      </c>
      <c r="I9" s="34" t="s">
        <v>23</v>
      </c>
      <c r="J9" s="149">
        <v>45869.0</v>
      </c>
      <c r="K9" s="19" t="b">
        <v>1</v>
      </c>
      <c r="L9" s="19" t="b">
        <v>1</v>
      </c>
      <c r="M9" s="19" t="b">
        <v>1</v>
      </c>
      <c r="N9" s="19" t="b">
        <v>1</v>
      </c>
      <c r="O9" s="19" t="b">
        <v>1</v>
      </c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</row>
    <row r="10" ht="30.0" customHeight="1" outlineLevel="1">
      <c r="A10" s="19" t="b">
        <v>0</v>
      </c>
      <c r="B10" s="27" t="s">
        <v>662</v>
      </c>
      <c r="C10" s="28" t="s">
        <v>20</v>
      </c>
      <c r="D10" s="27" t="s">
        <v>21</v>
      </c>
      <c r="E10" s="27">
        <v>2.0</v>
      </c>
      <c r="F10" s="29">
        <v>2.0</v>
      </c>
      <c r="G10" s="30" t="s">
        <v>320</v>
      </c>
      <c r="H10" s="29" t="s">
        <v>23</v>
      </c>
      <c r="I10" s="29" t="s">
        <v>23</v>
      </c>
      <c r="J10" s="337">
        <v>45881.0</v>
      </c>
      <c r="K10" s="19" t="b">
        <v>1</v>
      </c>
      <c r="L10" s="19" t="b">
        <v>1</v>
      </c>
      <c r="M10" s="19" t="b">
        <v>1</v>
      </c>
      <c r="N10" s="19" t="b">
        <v>1</v>
      </c>
      <c r="O10" s="19" t="b">
        <v>1</v>
      </c>
      <c r="P10" s="132"/>
      <c r="Q10" s="132"/>
      <c r="R10" s="132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</row>
    <row r="11" ht="30.0" customHeight="1" outlineLevel="1">
      <c r="A11" s="19" t="b">
        <v>1</v>
      </c>
      <c r="B11" s="34" t="s">
        <v>663</v>
      </c>
      <c r="C11" s="35" t="s">
        <v>20</v>
      </c>
      <c r="D11" s="34" t="s">
        <v>21</v>
      </c>
      <c r="E11" s="34">
        <v>8.0</v>
      </c>
      <c r="F11" s="34">
        <v>2.0</v>
      </c>
      <c r="G11" s="34" t="s">
        <v>58</v>
      </c>
      <c r="H11" s="34" t="s">
        <v>31</v>
      </c>
      <c r="I11" s="34" t="s">
        <v>23</v>
      </c>
      <c r="J11" s="338">
        <v>45891.0</v>
      </c>
      <c r="K11" s="19" t="b">
        <v>1</v>
      </c>
      <c r="L11" s="19" t="b">
        <v>1</v>
      </c>
      <c r="M11" s="19" t="b">
        <v>1</v>
      </c>
      <c r="N11" s="19" t="b">
        <v>1</v>
      </c>
      <c r="O11" s="59" t="b">
        <v>1</v>
      </c>
      <c r="P11" s="16" t="s">
        <v>154</v>
      </c>
      <c r="Q11" s="17" t="s">
        <v>52</v>
      </c>
      <c r="R11" s="53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</row>
    <row r="12" outlineLevel="1">
      <c r="A12" s="19" t="b">
        <v>0</v>
      </c>
      <c r="B12" s="34" t="s">
        <v>155</v>
      </c>
      <c r="C12" s="35" t="s">
        <v>20</v>
      </c>
      <c r="D12" s="34" t="s">
        <v>664</v>
      </c>
      <c r="E12" s="34">
        <v>6.0</v>
      </c>
      <c r="F12" s="34">
        <v>2.0</v>
      </c>
      <c r="G12" s="34" t="s">
        <v>665</v>
      </c>
      <c r="H12" s="34" t="s">
        <v>31</v>
      </c>
      <c r="I12" s="34" t="s">
        <v>31</v>
      </c>
      <c r="J12" s="149">
        <v>45884.0</v>
      </c>
      <c r="K12" s="19" t="b">
        <v>1</v>
      </c>
      <c r="L12" s="19" t="b">
        <v>1</v>
      </c>
      <c r="M12" s="19" t="b">
        <v>1</v>
      </c>
      <c r="N12" s="19" t="b">
        <v>1</v>
      </c>
      <c r="O12" s="19" t="b">
        <v>1</v>
      </c>
      <c r="P12" s="60" t="s">
        <v>57</v>
      </c>
      <c r="Q12" s="61" t="s">
        <v>58</v>
      </c>
      <c r="R12" s="33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</row>
    <row r="13" ht="15.0" customHeight="1" outlineLevel="1">
      <c r="A13" s="19" t="b">
        <v>0</v>
      </c>
      <c r="B13" s="34" t="s">
        <v>340</v>
      </c>
      <c r="C13" s="35" t="s">
        <v>20</v>
      </c>
      <c r="D13" s="34" t="s">
        <v>666</v>
      </c>
      <c r="E13" s="35">
        <v>8.0</v>
      </c>
      <c r="F13" s="35">
        <v>1.0</v>
      </c>
      <c r="G13" s="34" t="s">
        <v>58</v>
      </c>
      <c r="H13" s="34" t="s">
        <v>23</v>
      </c>
      <c r="I13" s="34" t="s">
        <v>31</v>
      </c>
      <c r="J13" s="149">
        <v>45875.0</v>
      </c>
      <c r="K13" s="19" t="b">
        <v>1</v>
      </c>
      <c r="L13" s="19" t="b">
        <v>0</v>
      </c>
      <c r="M13" s="19" t="b">
        <v>0</v>
      </c>
      <c r="N13" s="19" t="b">
        <v>0</v>
      </c>
      <c r="O13" s="19" t="b">
        <v>0</v>
      </c>
      <c r="P13" s="135" t="s">
        <v>334</v>
      </c>
      <c r="Q13" s="75" t="s">
        <v>335</v>
      </c>
      <c r="R13" s="39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</row>
    <row r="14" ht="15.0" customHeight="1" outlineLevel="1">
      <c r="A14" s="19" t="b">
        <v>0</v>
      </c>
      <c r="B14" s="34" t="s">
        <v>667</v>
      </c>
      <c r="C14" s="35" t="s">
        <v>20</v>
      </c>
      <c r="D14" s="34" t="s">
        <v>21</v>
      </c>
      <c r="E14" s="34">
        <v>4.0</v>
      </c>
      <c r="F14" s="34">
        <v>2.0</v>
      </c>
      <c r="G14" s="34" t="s">
        <v>45</v>
      </c>
      <c r="H14" s="34" t="s">
        <v>23</v>
      </c>
      <c r="I14" s="34" t="s">
        <v>23</v>
      </c>
      <c r="J14" s="149">
        <v>45880.0</v>
      </c>
      <c r="K14" s="19" t="b">
        <v>1</v>
      </c>
      <c r="L14" s="19" t="b">
        <v>1</v>
      </c>
      <c r="M14" s="19" t="b">
        <v>1</v>
      </c>
      <c r="N14" s="19" t="b">
        <v>1</v>
      </c>
      <c r="O14" s="19" t="b">
        <v>1</v>
      </c>
      <c r="P14" s="65" t="s">
        <v>62</v>
      </c>
      <c r="Q14" s="66" t="s">
        <v>58</v>
      </c>
      <c r="R14" s="33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</row>
    <row r="15" outlineLevel="1">
      <c r="A15" s="19" t="b">
        <v>0</v>
      </c>
      <c r="B15" s="34" t="s">
        <v>169</v>
      </c>
      <c r="C15" s="35" t="s">
        <v>26</v>
      </c>
      <c r="D15" s="34" t="s">
        <v>385</v>
      </c>
      <c r="E15" s="34">
        <v>6.0</v>
      </c>
      <c r="F15" s="34">
        <v>2.0</v>
      </c>
      <c r="G15" s="34" t="s">
        <v>70</v>
      </c>
      <c r="H15" s="34" t="s">
        <v>31</v>
      </c>
      <c r="I15" s="34" t="s">
        <v>23</v>
      </c>
      <c r="J15" s="40" t="s">
        <v>529</v>
      </c>
      <c r="K15" s="19" t="b">
        <v>1</v>
      </c>
      <c r="L15" s="19" t="b">
        <v>0</v>
      </c>
      <c r="M15" s="19" t="b">
        <v>0</v>
      </c>
      <c r="N15" s="19" t="b">
        <v>0</v>
      </c>
      <c r="O15" s="19" t="b">
        <v>0</v>
      </c>
      <c r="P15" s="65" t="s">
        <v>66</v>
      </c>
      <c r="Q15" s="69" t="s">
        <v>67</v>
      </c>
      <c r="R15" s="39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</row>
    <row r="16" outlineLevel="1">
      <c r="A16" s="339" t="b">
        <v>0</v>
      </c>
      <c r="B16" s="340" t="s">
        <v>668</v>
      </c>
      <c r="C16" s="48" t="s">
        <v>107</v>
      </c>
      <c r="D16" s="340" t="s">
        <v>21</v>
      </c>
      <c r="E16" s="340">
        <v>4.0</v>
      </c>
      <c r="F16" s="340">
        <v>2.0</v>
      </c>
      <c r="G16" s="340" t="s">
        <v>669</v>
      </c>
      <c r="H16" s="340" t="s">
        <v>31</v>
      </c>
      <c r="I16" s="340" t="s">
        <v>23</v>
      </c>
      <c r="J16" s="48" t="s">
        <v>46</v>
      </c>
      <c r="K16" s="339" t="b">
        <v>0</v>
      </c>
      <c r="L16" s="339" t="b">
        <v>0</v>
      </c>
      <c r="M16" s="339" t="b">
        <v>0</v>
      </c>
      <c r="N16" s="339" t="b">
        <v>0</v>
      </c>
      <c r="O16" s="339" t="b">
        <v>0</v>
      </c>
      <c r="P16" s="341" t="s">
        <v>343</v>
      </c>
      <c r="Q16" s="342" t="s">
        <v>58</v>
      </c>
      <c r="R16" s="39"/>
      <c r="S16" s="343"/>
      <c r="T16" s="343"/>
      <c r="U16" s="343"/>
      <c r="V16" s="343"/>
      <c r="W16" s="343"/>
      <c r="X16" s="343"/>
      <c r="Y16" s="343"/>
      <c r="Z16" s="343"/>
      <c r="AA16" s="343"/>
      <c r="AB16" s="343"/>
      <c r="AC16" s="343"/>
      <c r="AD16" s="343"/>
      <c r="AE16" s="343"/>
      <c r="AF16" s="343"/>
      <c r="AG16" s="343"/>
    </row>
    <row r="17" outlineLevel="1">
      <c r="A17" s="339" t="b">
        <v>0</v>
      </c>
      <c r="B17" s="340" t="s">
        <v>670</v>
      </c>
      <c r="C17" s="48" t="s">
        <v>107</v>
      </c>
      <c r="D17" s="340" t="s">
        <v>21</v>
      </c>
      <c r="E17" s="340">
        <v>4.0</v>
      </c>
      <c r="F17" s="340">
        <v>2.0</v>
      </c>
      <c r="G17" s="340" t="s">
        <v>669</v>
      </c>
      <c r="H17" s="340" t="s">
        <v>31</v>
      </c>
      <c r="I17" s="340" t="s">
        <v>23</v>
      </c>
      <c r="J17" s="48" t="s">
        <v>46</v>
      </c>
      <c r="K17" s="339" t="b">
        <v>0</v>
      </c>
      <c r="L17" s="339" t="b">
        <v>0</v>
      </c>
      <c r="M17" s="339" t="b">
        <v>0</v>
      </c>
      <c r="N17" s="339" t="b">
        <v>0</v>
      </c>
      <c r="O17" s="339" t="b">
        <v>0</v>
      </c>
      <c r="P17" s="344" t="s">
        <v>345</v>
      </c>
      <c r="Q17" s="342" t="s">
        <v>671</v>
      </c>
      <c r="R17" s="39"/>
      <c r="S17" s="345" t="s">
        <v>672</v>
      </c>
      <c r="T17" s="343"/>
      <c r="U17" s="343"/>
      <c r="V17" s="343"/>
      <c r="W17" s="343"/>
      <c r="X17" s="343"/>
      <c r="Y17" s="343"/>
      <c r="Z17" s="343"/>
      <c r="AA17" s="343"/>
      <c r="AB17" s="343"/>
      <c r="AC17" s="343"/>
      <c r="AD17" s="343"/>
      <c r="AE17" s="343"/>
      <c r="AF17" s="343"/>
      <c r="AG17" s="343"/>
    </row>
    <row r="18" outlineLevel="1">
      <c r="A18" s="19" t="b">
        <v>0</v>
      </c>
      <c r="B18" s="34" t="s">
        <v>673</v>
      </c>
      <c r="C18" s="35" t="s">
        <v>20</v>
      </c>
      <c r="D18" s="34" t="s">
        <v>21</v>
      </c>
      <c r="E18" s="34">
        <v>3.0</v>
      </c>
      <c r="F18" s="34">
        <v>2.0</v>
      </c>
      <c r="G18" s="34" t="s">
        <v>58</v>
      </c>
      <c r="H18" s="34" t="s">
        <v>23</v>
      </c>
      <c r="I18" s="34" t="s">
        <v>31</v>
      </c>
      <c r="J18" s="149">
        <v>45896.0</v>
      </c>
      <c r="K18" s="19" t="b">
        <v>1</v>
      </c>
      <c r="L18" s="19" t="b">
        <v>1</v>
      </c>
      <c r="M18" s="19" t="b">
        <v>1</v>
      </c>
      <c r="N18" s="19" t="b">
        <v>1</v>
      </c>
      <c r="O18" s="19" t="b">
        <v>1</v>
      </c>
      <c r="P18" s="274" t="s">
        <v>74</v>
      </c>
      <c r="Q18" s="275" t="s">
        <v>50</v>
      </c>
      <c r="R18" s="39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</row>
    <row r="19" outlineLevel="1">
      <c r="A19" s="339" t="b">
        <v>0</v>
      </c>
      <c r="B19" s="340" t="s">
        <v>674</v>
      </c>
      <c r="C19" s="48" t="s">
        <v>20</v>
      </c>
      <c r="D19" s="340" t="s">
        <v>21</v>
      </c>
      <c r="E19" s="340">
        <v>8.0</v>
      </c>
      <c r="F19" s="340">
        <v>3.0</v>
      </c>
      <c r="G19" s="340" t="s">
        <v>357</v>
      </c>
      <c r="H19" s="340" t="s">
        <v>31</v>
      </c>
      <c r="I19" s="340" t="s">
        <v>31</v>
      </c>
      <c r="J19" s="48" t="s">
        <v>46</v>
      </c>
      <c r="K19" s="339" t="b">
        <v>0</v>
      </c>
      <c r="L19" s="339" t="b">
        <v>0</v>
      </c>
      <c r="M19" s="339" t="b">
        <v>0</v>
      </c>
      <c r="N19" s="339" t="b">
        <v>0</v>
      </c>
      <c r="O19" s="339" t="b">
        <v>0</v>
      </c>
      <c r="P19" s="346"/>
      <c r="Q19" s="347"/>
      <c r="R19" s="39"/>
      <c r="S19" s="343"/>
      <c r="T19" s="343"/>
      <c r="U19" s="343"/>
      <c r="V19" s="343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</row>
    <row r="20" outlineLevel="1">
      <c r="A20" s="339" t="b">
        <v>0</v>
      </c>
      <c r="B20" s="340" t="s">
        <v>675</v>
      </c>
      <c r="C20" s="48" t="s">
        <v>26</v>
      </c>
      <c r="D20" s="340" t="s">
        <v>21</v>
      </c>
      <c r="E20" s="48">
        <v>8.0</v>
      </c>
      <c r="F20" s="48">
        <v>3.0</v>
      </c>
      <c r="G20" s="340" t="s">
        <v>45</v>
      </c>
      <c r="H20" s="340" t="s">
        <v>23</v>
      </c>
      <c r="I20" s="340" t="s">
        <v>23</v>
      </c>
      <c r="J20" s="48" t="s">
        <v>676</v>
      </c>
      <c r="K20" s="339" t="b">
        <v>0</v>
      </c>
      <c r="L20" s="339" t="b">
        <v>0</v>
      </c>
      <c r="M20" s="339" t="b">
        <v>0</v>
      </c>
      <c r="N20" s="339" t="b">
        <v>0</v>
      </c>
      <c r="O20" s="339" t="b">
        <v>0</v>
      </c>
      <c r="P20" s="348"/>
      <c r="Q20" s="349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</row>
    <row r="21" outlineLevel="1">
      <c r="A21" s="19" t="b">
        <v>0</v>
      </c>
      <c r="B21" s="34" t="s">
        <v>677</v>
      </c>
      <c r="C21" s="35" t="s">
        <v>20</v>
      </c>
      <c r="D21" s="34" t="s">
        <v>21</v>
      </c>
      <c r="E21" s="34">
        <v>1.0</v>
      </c>
      <c r="F21" s="34">
        <v>1.0</v>
      </c>
      <c r="G21" s="34" t="s">
        <v>34</v>
      </c>
      <c r="H21" s="34" t="s">
        <v>23</v>
      </c>
      <c r="I21" s="34" t="s">
        <v>23</v>
      </c>
      <c r="J21" s="149">
        <v>46091.0</v>
      </c>
      <c r="K21" s="19" t="b">
        <v>1</v>
      </c>
      <c r="L21" s="19" t="b">
        <v>1</v>
      </c>
      <c r="M21" s="19" t="b">
        <v>1</v>
      </c>
      <c r="N21" s="19" t="b">
        <v>1</v>
      </c>
      <c r="O21" s="19" t="b">
        <v>1</v>
      </c>
      <c r="P21" s="77" t="s">
        <v>79</v>
      </c>
      <c r="Q21" s="78"/>
      <c r="R21" s="79"/>
      <c r="T21" s="80" t="s">
        <v>80</v>
      </c>
      <c r="U21" s="73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</row>
    <row r="22" ht="31.5" customHeight="1" outlineLevel="1">
      <c r="A22" s="350" t="b">
        <v>0</v>
      </c>
      <c r="B22" s="351" t="s">
        <v>678</v>
      </c>
      <c r="C22" s="352" t="s">
        <v>20</v>
      </c>
      <c r="D22" s="351" t="s">
        <v>21</v>
      </c>
      <c r="E22" s="351">
        <v>5.0</v>
      </c>
      <c r="F22" s="351">
        <v>2.0</v>
      </c>
      <c r="G22" s="351" t="s">
        <v>45</v>
      </c>
      <c r="H22" s="351" t="s">
        <v>31</v>
      </c>
      <c r="I22" s="351" t="s">
        <v>31</v>
      </c>
      <c r="J22" s="48" t="s">
        <v>46</v>
      </c>
      <c r="K22" s="328" t="b">
        <v>0</v>
      </c>
      <c r="L22" s="328" t="b">
        <v>0</v>
      </c>
      <c r="M22" s="328" t="b">
        <v>0</v>
      </c>
      <c r="N22" s="328" t="b">
        <v>0</v>
      </c>
      <c r="O22" s="328" t="b">
        <v>0</v>
      </c>
      <c r="P22" s="81" t="s">
        <v>83</v>
      </c>
      <c r="Q22" s="82" t="s">
        <v>84</v>
      </c>
      <c r="R22" s="83"/>
      <c r="S22" s="84" t="s">
        <v>85</v>
      </c>
      <c r="T22" s="85" t="s">
        <v>86</v>
      </c>
      <c r="U22" s="73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</row>
    <row r="23" ht="27.0" customHeight="1" outlineLevel="1">
      <c r="A23" s="339" t="b">
        <v>0</v>
      </c>
      <c r="B23" s="340" t="s">
        <v>679</v>
      </c>
      <c r="C23" s="48" t="s">
        <v>20</v>
      </c>
      <c r="D23" s="340" t="s">
        <v>21</v>
      </c>
      <c r="E23" s="48">
        <v>8.0</v>
      </c>
      <c r="F23" s="48">
        <v>2.0</v>
      </c>
      <c r="G23" s="340" t="s">
        <v>58</v>
      </c>
      <c r="H23" s="340" t="s">
        <v>31</v>
      </c>
      <c r="I23" s="340" t="s">
        <v>31</v>
      </c>
      <c r="J23" s="48" t="s">
        <v>46</v>
      </c>
      <c r="K23" s="339" t="b">
        <v>1</v>
      </c>
      <c r="L23" s="339" t="b">
        <v>1</v>
      </c>
      <c r="M23" s="339" t="b">
        <v>1</v>
      </c>
      <c r="N23" s="339" t="b">
        <v>1</v>
      </c>
      <c r="O23" s="339" t="b">
        <v>1</v>
      </c>
      <c r="P23" s="89" t="s">
        <v>90</v>
      </c>
      <c r="Q23" s="82" t="s">
        <v>91</v>
      </c>
      <c r="R23" s="83"/>
      <c r="S23" s="84" t="s">
        <v>85</v>
      </c>
      <c r="T23" s="85" t="s">
        <v>86</v>
      </c>
      <c r="U23" s="73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</row>
    <row r="24" ht="15.75" customHeight="1" outlineLevel="1">
      <c r="A24" s="19" t="b">
        <v>0</v>
      </c>
      <c r="B24" s="27" t="s">
        <v>680</v>
      </c>
      <c r="C24" s="28" t="s">
        <v>20</v>
      </c>
      <c r="D24" s="27" t="s">
        <v>21</v>
      </c>
      <c r="E24" s="27">
        <v>2.0</v>
      </c>
      <c r="F24" s="27">
        <v>2.0</v>
      </c>
      <c r="G24" s="34" t="s">
        <v>113</v>
      </c>
      <c r="H24" s="27" t="s">
        <v>23</v>
      </c>
      <c r="I24" s="27" t="s">
        <v>23</v>
      </c>
      <c r="J24" s="353">
        <v>45882.0</v>
      </c>
      <c r="K24" s="19" t="b">
        <v>1</v>
      </c>
      <c r="L24" s="19" t="b">
        <v>1</v>
      </c>
      <c r="M24" s="19" t="b">
        <v>1</v>
      </c>
      <c r="N24" s="19" t="b">
        <v>1</v>
      </c>
      <c r="O24" s="19" t="b">
        <v>0</v>
      </c>
      <c r="P24" s="49" t="s">
        <v>681</v>
      </c>
      <c r="Q24" s="141" t="s">
        <v>188</v>
      </c>
      <c r="R24" s="142" t="str">
        <f>(JAN!E3*JAN!F3)+(JAN!E4*JAN!F4)+(MAR!E4*MAR!F4)+(JAN!E5*JAN!F5)+(JAN!E6*JAN!F6)+(JAN!E7*JAN!F7)+(JAN!E8*JAN!F8)+(JAN!E9*JAN!F9)+(JAN!E10*JAN!F10)+(#REF!*#REF!)+(JAN!E11*JAN!F11)+(JAN!E12*JAN!F12)+(#REF!*#REF!)+(#REF!*#REF!)+(JAN!E13*JAN!F13)+(JAN!E14*JAN!F14)+(JAN!E15*JAN!F15)+(JAN!E16*JAN!F16)+(JAN!E17*JAN!F17)+(JAN!E18*JAN!F18)+(JAN!E19*JAN!F19)+(JAN!E20*JAN!F20)+(JAN!E21*JAN!F21)+(#REF!*#REF!)+(JAN!E22*JAN!F22)+(JAN!E23*JAN!F23)+(JAN!E24*JAN!F24)+(JAN!E25*JAN!F25)+(E24*F24)+(E25*F25)+(JAN!E27*JAN!F27)+(JAN!E28*JAN!F28)+(JAN!E29*JAN!F29)+(JAN!E30*JAN!F30)+(MAR!E32*MAR!F32)+(JAN!E31*JAN!F31)+(JAN!E32*JAN!F32)+(JAN!E33*JAN!F33)+(JAN!E34*JAN!F34)+(#REF!*#REF!)+(JAN!E35*JAN!F35)+(JAN!E36*JAN!F36)+(#REF!*#REF!)+(JAN!E37*JAN!F37)+(JAN!E38*JAN!F38)+(JAN!E39*JAN!F39)+(JAN!E40*JAN!F40)+(JAN!E41*JAN!F41)+(JAN!E42*JAN!F42)+(JAN!E43*JAN!F43)+(JAN!E44*JAN!F44)+(JAN!E45*JAN!F45)+(JAN!E46*JAN!F46)+(JAN!E47*JAN!F47)+(JAN!E48*JAN!F48)+(JAN!E49*JAN!F49)+(JAN!E50*JAN!F50)+(JAN!E51*JAN!F51)+(JAN!E52*JAN!F52)+(JAN!E53*JAN!F53)+(JAN!E54*JAN!F54)+(JAN!E55*JAN!F55)+(JAN!E56*JAN!F56)+(JAN!E57*JAN!F57)+(JAN!E58*JAN!F58)+(JAN!E59*JAN!F59)+(JAN!E60*JAN!F60)+(JAN!E61*JAN!F61)+(JAN!E62*JAN!F62)+(JAN!E63*JAN!F63)+(JAN!E64*JAN!F64)+(JAN!E65*JAN!F65)+(JAN!E66*JAN!F66)+(JAN!E67*JAN!F67)+(JAN!E68*JAN!F68)+(JAN!E69*JAN!F69)+(JAN!E70*JAN!F70)+(JAN!E71*JAN!F71)+(JAN!E72*JAN!F72)+(JAN!E73*JAN!F73)+(JAN!E74*JAN!F74)+(JAN!E75*JAN!F75)+(JAN!E76*JAN!F76)+(JAN!E77*JAN!F77)+(JAN!E78*JAN!F78)+(JAN!E79*JAN!F79)+(JAN!E80*JAN!F80)+(JAN!E81*JAN!F81)+(JAN!E82*JAN!F82)+(JAN!E83*JAN!F83)+(JAN!E84*JAN!F84)+(JAN!E85*JAN!F85)+(JAN!E86*JAN!F86)+(JAN!E87*JAN!F87)+(JAN!E88*JAN!F88)+(JAN!E89*JAN!F89)+(JAN!E90*JAN!F90)+(JAN!E91*JAN!F91)+(JAN!E92*JAN!F92)+(JAN!E93*JAN!F93)+(JAN!E94*JAN!F94)+(JAN!E95*JAN!F95)</f>
        <v>#REF!</v>
      </c>
      <c r="V24" s="73"/>
    </row>
    <row r="25" ht="15.75" customHeight="1" outlineLevel="1">
      <c r="A25" s="19" t="b">
        <v>0</v>
      </c>
      <c r="B25" s="27" t="s">
        <v>682</v>
      </c>
      <c r="C25" s="28" t="s">
        <v>20</v>
      </c>
      <c r="D25" s="27" t="s">
        <v>21</v>
      </c>
      <c r="E25" s="27">
        <v>2.0</v>
      </c>
      <c r="F25" s="27">
        <v>2.0</v>
      </c>
      <c r="G25" s="34" t="s">
        <v>113</v>
      </c>
      <c r="H25" s="27" t="s">
        <v>23</v>
      </c>
      <c r="I25" s="27" t="s">
        <v>23</v>
      </c>
      <c r="J25" s="354" t="s">
        <v>486</v>
      </c>
      <c r="K25" s="19" t="b">
        <v>1</v>
      </c>
      <c r="L25" s="19" t="b">
        <v>1</v>
      </c>
      <c r="M25" s="19" t="b">
        <v>1</v>
      </c>
      <c r="N25" s="19" t="b">
        <v>1</v>
      </c>
      <c r="O25" s="19" t="b">
        <v>1</v>
      </c>
    </row>
    <row r="26" ht="40.5" customHeight="1" outlineLevel="1">
      <c r="A26" s="19" t="b">
        <v>0</v>
      </c>
      <c r="B26" s="34" t="s">
        <v>683</v>
      </c>
      <c r="C26" s="35" t="s">
        <v>167</v>
      </c>
      <c r="D26" s="34" t="s">
        <v>596</v>
      </c>
      <c r="E26" s="34">
        <v>16.0</v>
      </c>
      <c r="F26" s="34">
        <v>2.0</v>
      </c>
      <c r="G26" s="34" t="s">
        <v>58</v>
      </c>
      <c r="H26" s="34" t="s">
        <v>31</v>
      </c>
      <c r="I26" s="34" t="s">
        <v>31</v>
      </c>
      <c r="J26" s="40" t="s">
        <v>684</v>
      </c>
      <c r="K26" s="19" t="b">
        <v>1</v>
      </c>
      <c r="L26" s="19" t="b">
        <v>1</v>
      </c>
      <c r="M26" s="19" t="b">
        <v>1</v>
      </c>
      <c r="N26" s="19" t="b">
        <v>1</v>
      </c>
      <c r="O26" s="19" t="b">
        <v>1</v>
      </c>
      <c r="P26" s="91" t="s">
        <v>92</v>
      </c>
      <c r="Q26" s="82" t="s">
        <v>93</v>
      </c>
      <c r="R26" s="83"/>
      <c r="S26" s="84" t="s">
        <v>85</v>
      </c>
      <c r="T26" s="85" t="s">
        <v>94</v>
      </c>
      <c r="U26" s="73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</row>
    <row r="27" ht="15.75" customHeight="1" outlineLevel="1">
      <c r="A27" s="19" t="b">
        <v>0</v>
      </c>
      <c r="B27" s="35" t="s">
        <v>685</v>
      </c>
      <c r="C27" s="35" t="s">
        <v>20</v>
      </c>
      <c r="D27" s="35" t="s">
        <v>21</v>
      </c>
      <c r="E27" s="35">
        <v>1.0</v>
      </c>
      <c r="F27" s="35">
        <v>1.0</v>
      </c>
      <c r="G27" s="35" t="s">
        <v>22</v>
      </c>
      <c r="H27" s="35" t="s">
        <v>23</v>
      </c>
      <c r="I27" s="35" t="s">
        <v>23</v>
      </c>
      <c r="J27" s="40" t="s">
        <v>686</v>
      </c>
      <c r="K27" s="19" t="b">
        <v>1</v>
      </c>
      <c r="L27" s="19" t="b">
        <v>0</v>
      </c>
      <c r="M27" s="19" t="b">
        <v>1</v>
      </c>
      <c r="N27" s="19" t="b">
        <v>1</v>
      </c>
      <c r="O27" s="19" t="b">
        <v>0</v>
      </c>
      <c r="P27" s="93" t="s">
        <v>97</v>
      </c>
      <c r="Q27" s="94" t="s">
        <v>98</v>
      </c>
      <c r="R27" s="95"/>
      <c r="S27" s="84" t="s">
        <v>85</v>
      </c>
      <c r="T27" s="85" t="s">
        <v>94</v>
      </c>
      <c r="U27" s="73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</row>
    <row r="28" ht="15.75" customHeight="1" outlineLevel="1">
      <c r="A28" s="19" t="b">
        <v>0</v>
      </c>
      <c r="B28" s="34" t="s">
        <v>687</v>
      </c>
      <c r="C28" s="35" t="s">
        <v>20</v>
      </c>
      <c r="D28" s="34" t="s">
        <v>21</v>
      </c>
      <c r="E28" s="34">
        <v>3.0</v>
      </c>
      <c r="F28" s="34">
        <v>2.0</v>
      </c>
      <c r="G28" s="34" t="s">
        <v>45</v>
      </c>
      <c r="H28" s="34" t="s">
        <v>23</v>
      </c>
      <c r="I28" s="34" t="s">
        <v>23</v>
      </c>
      <c r="J28" s="149">
        <v>45870.0</v>
      </c>
      <c r="K28" s="19" t="b">
        <v>1</v>
      </c>
      <c r="L28" s="19" t="b">
        <v>1</v>
      </c>
      <c r="M28" s="19" t="b">
        <v>1</v>
      </c>
      <c r="N28" s="19" t="b">
        <v>1</v>
      </c>
      <c r="O28" s="19" t="b">
        <v>1</v>
      </c>
      <c r="P28" s="355"/>
      <c r="Q28" s="195"/>
      <c r="S28" s="84"/>
      <c r="T28" s="85"/>
      <c r="U28" s="73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</row>
    <row r="29" ht="15.75" customHeight="1" outlineLevel="1">
      <c r="A29" s="19" t="b">
        <v>0</v>
      </c>
      <c r="B29" s="34" t="s">
        <v>688</v>
      </c>
      <c r="C29" s="35" t="s">
        <v>195</v>
      </c>
      <c r="D29" s="34" t="s">
        <v>21</v>
      </c>
      <c r="E29" s="34">
        <v>4.0</v>
      </c>
      <c r="F29" s="34">
        <v>1.0</v>
      </c>
      <c r="G29" s="34" t="s">
        <v>22</v>
      </c>
      <c r="H29" s="34" t="s">
        <v>23</v>
      </c>
      <c r="I29" s="34" t="s">
        <v>23</v>
      </c>
      <c r="J29" s="149">
        <v>45887.0</v>
      </c>
      <c r="K29" s="19" t="b">
        <v>1</v>
      </c>
      <c r="L29" s="19" t="b">
        <v>1</v>
      </c>
      <c r="M29" s="19" t="b">
        <v>1</v>
      </c>
      <c r="N29" s="19" t="b">
        <v>1</v>
      </c>
      <c r="O29" s="19" t="b">
        <v>1</v>
      </c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</row>
    <row r="30" ht="15.75" customHeight="1" outlineLevel="1">
      <c r="A30" s="19" t="b">
        <v>0</v>
      </c>
      <c r="B30" s="34" t="s">
        <v>689</v>
      </c>
      <c r="C30" s="35" t="s">
        <v>20</v>
      </c>
      <c r="D30" s="34" t="s">
        <v>21</v>
      </c>
      <c r="E30" s="34">
        <v>1.0</v>
      </c>
      <c r="F30" s="34">
        <v>1.0</v>
      </c>
      <c r="G30" s="34" t="s">
        <v>34</v>
      </c>
      <c r="H30" s="34" t="s">
        <v>23</v>
      </c>
      <c r="I30" s="34" t="s">
        <v>23</v>
      </c>
      <c r="J30" s="131">
        <v>45952.0</v>
      </c>
      <c r="K30" s="19" t="b">
        <v>0</v>
      </c>
      <c r="L30" s="19" t="b">
        <v>0</v>
      </c>
      <c r="M30" s="19" t="b">
        <v>0</v>
      </c>
      <c r="N30" s="19" t="b">
        <v>0</v>
      </c>
      <c r="O30" s="19" t="b">
        <v>0</v>
      </c>
      <c r="P30" s="201" t="s">
        <v>362</v>
      </c>
      <c r="Q30" s="103">
        <f>(E3*F3)+(E4*F4)+(E5*F5)+(E6*F6)+(E7*F7)+(E8*F8)+(E9*F9)+(E11*F11)+(E12*F12)+(E13*F13)+(E14*F14)+(E15*F15)+(E16*F16)+(E17*F17)+(E18*F18)+(E19*F19)+(E20*F20)+(E21*F21)+(E22*F22)+(E23*F23)+(E26*F26)+(E28*F28)+(E29*F29)+(E30*F30)+(E31*F31)+(E32*F32)+(E33*F33)+(E34*F34)+(E35*F35)+(E36*F36)+(E37*F37)+(E38*F38)+(E39*F39)+(E40*F40)+(E41*F41)+(E42*F42)+(E43*F43)+(E44*F44)+(E45*F45)+(E46*F46)+(E47*F47)+(E48*F48)+(E49*F49)+(E50*F50)+(E51*F51)+(E52*F52)+(E53*F53)+(E54*F54)+(E55*F55)+(E56*F56)+(E57*F57)+(E58*F58)+(E59*F59)+(E60*F60)+(E61*F61)+(E62*F62)+(E63*F63)+(E64*F64)+(E65*F65)+(E66*F66)+(E67*F67)+(E68*F68)+(E69*F69)+(E70*F70)+(E71*F71)+(E72*F72)+(E73*F73)+(E74*F74)+(E75*F75)+(E76*F76)+(E77*F77)+(E78*F78)+(E79*F79)+(E80*F80)+(E81*F81)+(E82*F82)+(E83*F83)+(E84*F84)+(E85*F85)+(E86*F86)+(E87*F87)+(E88*F88)+(E89*F89)+(E90*F90)+(E91*F91)+(E92*F92)+(E93*F93)+(E94*F94)+(E95*F95)+(E96*F96)+(E97*F97)+(E98*F98)+(E99*F99)+(E100*F100)+(E101*F101)+(E102*F102)+(E103*F103)</f>
        <v>409.5</v>
      </c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</row>
    <row r="31" ht="15.75" customHeight="1" outlineLevel="1">
      <c r="A31" s="19" t="b">
        <v>0</v>
      </c>
      <c r="B31" s="34" t="s">
        <v>690</v>
      </c>
      <c r="C31" s="35" t="s">
        <v>20</v>
      </c>
      <c r="D31" s="35" t="s">
        <v>691</v>
      </c>
      <c r="E31" s="34">
        <v>3.0</v>
      </c>
      <c r="F31" s="34">
        <v>2.0</v>
      </c>
      <c r="G31" s="34" t="s">
        <v>326</v>
      </c>
      <c r="H31" s="34" t="s">
        <v>31</v>
      </c>
      <c r="I31" s="34" t="s">
        <v>31</v>
      </c>
      <c r="J31" s="204">
        <v>45894.0</v>
      </c>
      <c r="K31" s="19" t="b">
        <v>1</v>
      </c>
      <c r="L31" s="19" t="b">
        <v>0</v>
      </c>
      <c r="M31" s="19" t="b">
        <v>0</v>
      </c>
      <c r="N31" s="19" t="b">
        <v>0</v>
      </c>
      <c r="O31" s="19" t="b">
        <v>0</v>
      </c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</row>
    <row r="32" ht="15.75" customHeight="1" outlineLevel="1">
      <c r="A32" s="19" t="b">
        <v>0</v>
      </c>
      <c r="B32" s="34" t="s">
        <v>692</v>
      </c>
      <c r="C32" s="35" t="s">
        <v>20</v>
      </c>
      <c r="D32" s="34" t="s">
        <v>21</v>
      </c>
      <c r="E32" s="35">
        <v>3.0</v>
      </c>
      <c r="F32" s="34">
        <v>1.0</v>
      </c>
      <c r="G32" s="34" t="s">
        <v>22</v>
      </c>
      <c r="H32" s="34" t="s">
        <v>23</v>
      </c>
      <c r="I32" s="34" t="s">
        <v>23</v>
      </c>
      <c r="J32" s="204">
        <v>45863.0</v>
      </c>
      <c r="K32" s="19" t="b">
        <v>1</v>
      </c>
      <c r="L32" s="19" t="b">
        <v>1</v>
      </c>
      <c r="M32" s="19" t="b">
        <v>1</v>
      </c>
      <c r="N32" s="19" t="b">
        <v>1</v>
      </c>
      <c r="O32" s="19" t="b">
        <v>1</v>
      </c>
      <c r="P32" s="143" t="s">
        <v>192</v>
      </c>
      <c r="Q32" s="144"/>
      <c r="R32" s="18"/>
      <c r="S32" s="103">
        <v>708.0</v>
      </c>
      <c r="T32" s="85"/>
      <c r="U32" s="85" t="s">
        <v>193</v>
      </c>
      <c r="AE32" s="118"/>
      <c r="AF32" s="118"/>
      <c r="AG32" s="118"/>
    </row>
    <row r="33" ht="15.75" customHeight="1" outlineLevel="1">
      <c r="A33" s="339" t="b">
        <v>0</v>
      </c>
      <c r="B33" s="356" t="s">
        <v>693</v>
      </c>
      <c r="C33" s="357" t="s">
        <v>107</v>
      </c>
      <c r="D33" s="357" t="s">
        <v>694</v>
      </c>
      <c r="E33" s="357">
        <v>4.0</v>
      </c>
      <c r="F33" s="357">
        <v>2.0</v>
      </c>
      <c r="G33" s="357" t="s">
        <v>45</v>
      </c>
      <c r="H33" s="358" t="s">
        <v>23</v>
      </c>
      <c r="I33" s="358" t="s">
        <v>23</v>
      </c>
      <c r="J33" s="359" t="s">
        <v>46</v>
      </c>
      <c r="K33" s="339" t="b">
        <v>0</v>
      </c>
      <c r="L33" s="339" t="b">
        <v>0</v>
      </c>
      <c r="M33" s="339" t="b">
        <v>0</v>
      </c>
      <c r="N33" s="339" t="b">
        <v>0</v>
      </c>
      <c r="O33" s="339" t="b">
        <v>0</v>
      </c>
      <c r="P33" s="360"/>
      <c r="Q33" s="360"/>
      <c r="R33" s="360"/>
      <c r="S33" s="361"/>
      <c r="T33" s="360"/>
      <c r="U33" s="360"/>
      <c r="V33" s="362"/>
      <c r="W33" s="362"/>
      <c r="X33" s="362"/>
      <c r="Y33" s="362"/>
      <c r="Z33" s="362"/>
      <c r="AA33" s="362"/>
      <c r="AB33" s="362"/>
      <c r="AC33" s="362"/>
      <c r="AD33" s="362"/>
      <c r="AE33" s="343"/>
      <c r="AF33" s="343"/>
      <c r="AG33" s="343"/>
    </row>
    <row r="34" ht="15.75" customHeight="1" outlineLevel="1">
      <c r="A34" s="19" t="b">
        <v>0</v>
      </c>
      <c r="B34" s="27" t="s">
        <v>121</v>
      </c>
      <c r="C34" s="28" t="s">
        <v>122</v>
      </c>
      <c r="D34" s="27" t="s">
        <v>55</v>
      </c>
      <c r="E34" s="27">
        <v>16.0</v>
      </c>
      <c r="F34" s="27">
        <v>2.0</v>
      </c>
      <c r="G34" s="34" t="s">
        <v>58</v>
      </c>
      <c r="H34" s="27" t="s">
        <v>31</v>
      </c>
      <c r="I34" s="27" t="s">
        <v>31</v>
      </c>
      <c r="J34" s="40" t="s">
        <v>695</v>
      </c>
      <c r="K34" s="19" t="b">
        <v>1</v>
      </c>
      <c r="L34" s="19" t="b">
        <v>1</v>
      </c>
      <c r="M34" s="19" t="b">
        <v>1</v>
      </c>
      <c r="N34" s="19" t="b">
        <v>1</v>
      </c>
      <c r="O34" s="19" t="b">
        <v>1</v>
      </c>
      <c r="P34" s="141" t="s">
        <v>696</v>
      </c>
      <c r="Q34" s="102"/>
      <c r="R34" s="103">
        <f>S32-Q30</f>
        <v>298.5</v>
      </c>
      <c r="S34" s="96"/>
      <c r="T34" s="85"/>
      <c r="U34" s="85"/>
      <c r="AE34" s="118"/>
      <c r="AF34" s="118"/>
      <c r="AG34" s="118"/>
    </row>
    <row r="35" ht="15.75" customHeight="1" outlineLevel="1">
      <c r="A35" s="19" t="b">
        <v>0</v>
      </c>
      <c r="B35" s="34" t="s">
        <v>697</v>
      </c>
      <c r="C35" s="35" t="s">
        <v>122</v>
      </c>
      <c r="D35" s="34" t="s">
        <v>21</v>
      </c>
      <c r="E35" s="34">
        <v>6.0</v>
      </c>
      <c r="F35" s="34">
        <v>2.0</v>
      </c>
      <c r="G35" s="34" t="s">
        <v>113</v>
      </c>
      <c r="H35" s="34" t="s">
        <v>31</v>
      </c>
      <c r="I35" s="35" t="s">
        <v>31</v>
      </c>
      <c r="J35" s="149">
        <v>45895.0</v>
      </c>
      <c r="K35" s="19" t="b">
        <v>1</v>
      </c>
      <c r="L35" s="19" t="b">
        <v>1</v>
      </c>
      <c r="M35" s="19" t="b">
        <v>1</v>
      </c>
      <c r="N35" s="19" t="b">
        <v>1</v>
      </c>
      <c r="O35" s="19" t="b">
        <v>1</v>
      </c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</row>
    <row r="36" ht="15.75" customHeight="1" outlineLevel="1">
      <c r="A36" s="19" t="b">
        <v>0</v>
      </c>
      <c r="B36" s="34" t="s">
        <v>698</v>
      </c>
      <c r="C36" s="35" t="s">
        <v>20</v>
      </c>
      <c r="D36" s="34" t="s">
        <v>21</v>
      </c>
      <c r="E36" s="34">
        <v>5.0</v>
      </c>
      <c r="F36" s="34">
        <v>2.0</v>
      </c>
      <c r="G36" s="34" t="s">
        <v>45</v>
      </c>
      <c r="H36" s="34" t="s">
        <v>23</v>
      </c>
      <c r="I36" s="34" t="s">
        <v>23</v>
      </c>
      <c r="J36" s="149">
        <v>45881.0</v>
      </c>
      <c r="K36" s="19" t="b">
        <v>1</v>
      </c>
      <c r="L36" s="19" t="b">
        <v>1</v>
      </c>
      <c r="M36" s="19" t="b">
        <v>1</v>
      </c>
      <c r="N36" s="19" t="b">
        <v>1</v>
      </c>
      <c r="O36" s="19" t="b">
        <v>1</v>
      </c>
      <c r="P36" s="130" t="s">
        <v>699</v>
      </c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</row>
    <row r="37" ht="15.75" customHeight="1" outlineLevel="1">
      <c r="A37" s="19" t="b">
        <v>0</v>
      </c>
      <c r="B37" s="34" t="s">
        <v>700</v>
      </c>
      <c r="C37" s="35" t="s">
        <v>20</v>
      </c>
      <c r="D37" s="34" t="s">
        <v>21</v>
      </c>
      <c r="E37" s="34">
        <v>8.0</v>
      </c>
      <c r="F37" s="34">
        <v>2.0</v>
      </c>
      <c r="G37" s="34" t="s">
        <v>45</v>
      </c>
      <c r="H37" s="34" t="s">
        <v>31</v>
      </c>
      <c r="I37" s="34" t="s">
        <v>23</v>
      </c>
      <c r="J37" s="363">
        <v>45888.0</v>
      </c>
      <c r="K37" s="19" t="b">
        <v>1</v>
      </c>
      <c r="L37" s="19" t="b">
        <v>1</v>
      </c>
      <c r="M37" s="19" t="b">
        <v>1</v>
      </c>
      <c r="N37" s="19" t="b">
        <v>1</v>
      </c>
      <c r="O37" s="19" t="b">
        <v>1</v>
      </c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</row>
    <row r="38" ht="15.75" customHeight="1" outlineLevel="1">
      <c r="A38" s="339" t="b">
        <v>0</v>
      </c>
      <c r="B38" s="340" t="s">
        <v>645</v>
      </c>
      <c r="C38" s="48" t="s">
        <v>20</v>
      </c>
      <c r="D38" s="340" t="s">
        <v>21</v>
      </c>
      <c r="E38" s="340">
        <v>8.0</v>
      </c>
      <c r="F38" s="340">
        <v>2.0</v>
      </c>
      <c r="G38" s="340" t="s">
        <v>58</v>
      </c>
      <c r="H38" s="340" t="s">
        <v>31</v>
      </c>
      <c r="I38" s="340" t="s">
        <v>23</v>
      </c>
      <c r="J38" s="48" t="s">
        <v>46</v>
      </c>
      <c r="K38" s="339" t="b">
        <v>0</v>
      </c>
      <c r="L38" s="339" t="b">
        <v>0</v>
      </c>
      <c r="M38" s="339" t="b">
        <v>0</v>
      </c>
      <c r="N38" s="339" t="b">
        <v>0</v>
      </c>
      <c r="O38" s="339" t="b">
        <v>0</v>
      </c>
      <c r="P38" s="343"/>
      <c r="Q38" s="343"/>
      <c r="R38" s="343"/>
      <c r="S38" s="343"/>
      <c r="T38" s="343"/>
      <c r="U38" s="343"/>
      <c r="V38" s="343"/>
      <c r="W38" s="343"/>
      <c r="X38" s="343"/>
      <c r="Y38" s="343"/>
      <c r="Z38" s="343"/>
      <c r="AA38" s="343"/>
      <c r="AB38" s="343"/>
      <c r="AC38" s="343"/>
      <c r="AD38" s="343"/>
      <c r="AE38" s="343"/>
      <c r="AF38" s="343"/>
      <c r="AG38" s="343"/>
    </row>
    <row r="39" ht="15.75" customHeight="1" outlineLevel="1">
      <c r="A39" s="19" t="b">
        <v>0</v>
      </c>
      <c r="B39" s="35" t="s">
        <v>76</v>
      </c>
      <c r="C39" s="35" t="s">
        <v>77</v>
      </c>
      <c r="D39" s="35" t="s">
        <v>21</v>
      </c>
      <c r="E39" s="34"/>
      <c r="F39" s="34"/>
      <c r="G39" s="35" t="s">
        <v>701</v>
      </c>
      <c r="H39" s="34"/>
      <c r="I39" s="34"/>
      <c r="J39" s="28" t="s">
        <v>702</v>
      </c>
      <c r="K39" s="19"/>
      <c r="L39" s="19"/>
      <c r="M39" s="19"/>
      <c r="N39" s="19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</row>
    <row r="40" ht="15.75" customHeight="1" outlineLevel="1">
      <c r="A40" s="19" t="b">
        <v>0</v>
      </c>
      <c r="B40" s="34" t="s">
        <v>703</v>
      </c>
      <c r="C40" s="35" t="s">
        <v>20</v>
      </c>
      <c r="D40" s="34" t="s">
        <v>21</v>
      </c>
      <c r="E40" s="34">
        <v>4.0</v>
      </c>
      <c r="F40" s="34">
        <v>1.0</v>
      </c>
      <c r="G40" s="34" t="s">
        <v>22</v>
      </c>
      <c r="H40" s="34" t="s">
        <v>23</v>
      </c>
      <c r="I40" s="34" t="s">
        <v>23</v>
      </c>
      <c r="J40" s="335">
        <v>45888.0</v>
      </c>
      <c r="K40" s="19" t="b">
        <v>1</v>
      </c>
      <c r="L40" s="19" t="b">
        <v>0</v>
      </c>
      <c r="M40" s="19" t="b">
        <v>1</v>
      </c>
      <c r="N40" s="19" t="b">
        <v>1</v>
      </c>
      <c r="O40" s="19" t="b">
        <v>0</v>
      </c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</row>
    <row r="41" ht="15.75" customHeight="1" outlineLevel="1">
      <c r="A41" s="19" t="b">
        <v>0</v>
      </c>
      <c r="B41" s="27" t="s">
        <v>662</v>
      </c>
      <c r="C41" s="28" t="s">
        <v>20</v>
      </c>
      <c r="D41" s="27" t="s">
        <v>21</v>
      </c>
      <c r="E41" s="27">
        <v>2.0</v>
      </c>
      <c r="F41" s="29">
        <v>2.0</v>
      </c>
      <c r="G41" s="30" t="s">
        <v>320</v>
      </c>
      <c r="H41" s="29" t="s">
        <v>23</v>
      </c>
      <c r="I41" s="29" t="s">
        <v>23</v>
      </c>
      <c r="J41" s="364">
        <v>45881.0</v>
      </c>
      <c r="K41" s="19" t="b">
        <v>1</v>
      </c>
      <c r="L41" s="19" t="b">
        <v>0</v>
      </c>
      <c r="M41" s="19" t="b">
        <v>0</v>
      </c>
      <c r="N41" s="19" t="b">
        <v>0</v>
      </c>
      <c r="O41" s="19" t="b">
        <v>0</v>
      </c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</row>
    <row r="42" ht="15.75" customHeight="1" outlineLevel="1">
      <c r="A42" s="19" t="b">
        <v>0</v>
      </c>
      <c r="B42" s="365" t="s">
        <v>704</v>
      </c>
      <c r="C42" s="365" t="s">
        <v>20</v>
      </c>
      <c r="D42" s="365" t="s">
        <v>21</v>
      </c>
      <c r="E42" s="365">
        <v>0.5</v>
      </c>
      <c r="F42" s="365">
        <v>1.0</v>
      </c>
      <c r="G42" s="365" t="s">
        <v>34</v>
      </c>
      <c r="H42" s="365" t="s">
        <v>23</v>
      </c>
      <c r="I42" s="365" t="s">
        <v>23</v>
      </c>
      <c r="J42" s="308">
        <v>45884.0</v>
      </c>
      <c r="K42" s="19" t="b">
        <v>1</v>
      </c>
      <c r="L42" s="19" t="b">
        <v>0</v>
      </c>
      <c r="M42" s="19" t="b">
        <v>1</v>
      </c>
      <c r="N42" s="19" t="b">
        <v>1</v>
      </c>
      <c r="O42" s="19" t="b">
        <v>0</v>
      </c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</row>
    <row r="43" ht="15.75" customHeight="1" outlineLevel="1">
      <c r="A43" s="19" t="b">
        <v>1</v>
      </c>
      <c r="B43" s="34" t="s">
        <v>485</v>
      </c>
      <c r="C43" s="35" t="s">
        <v>20</v>
      </c>
      <c r="D43" s="34" t="s">
        <v>21</v>
      </c>
      <c r="E43" s="34">
        <v>2.0</v>
      </c>
      <c r="F43" s="34">
        <v>2.0</v>
      </c>
      <c r="G43" s="34" t="s">
        <v>70</v>
      </c>
      <c r="H43" s="34" t="s">
        <v>23</v>
      </c>
      <c r="I43" s="34" t="s">
        <v>23</v>
      </c>
      <c r="J43" s="214">
        <v>45876.0</v>
      </c>
      <c r="K43" s="19" t="b">
        <v>1</v>
      </c>
      <c r="L43" s="19" t="b">
        <v>1</v>
      </c>
      <c r="M43" s="19" t="b">
        <v>1</v>
      </c>
      <c r="N43" s="19" t="b">
        <v>1</v>
      </c>
      <c r="O43" s="19" t="b">
        <v>1</v>
      </c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</row>
    <row r="44" ht="15.75" customHeight="1" outlineLevel="1">
      <c r="A44" s="19" t="b">
        <v>0</v>
      </c>
      <c r="B44" s="34" t="s">
        <v>705</v>
      </c>
      <c r="C44" s="35" t="s">
        <v>20</v>
      </c>
      <c r="D44" s="34" t="s">
        <v>21</v>
      </c>
      <c r="E44" s="34">
        <v>3.0</v>
      </c>
      <c r="F44" s="34">
        <v>2.0</v>
      </c>
      <c r="G44" s="34" t="s">
        <v>58</v>
      </c>
      <c r="H44" s="34" t="s">
        <v>23</v>
      </c>
      <c r="I44" s="34" t="s">
        <v>23</v>
      </c>
      <c r="J44" s="149">
        <v>45898.0</v>
      </c>
      <c r="K44" s="19" t="b">
        <v>1</v>
      </c>
      <c r="L44" s="19" t="b">
        <v>1</v>
      </c>
      <c r="M44" s="19" t="b">
        <v>1</v>
      </c>
      <c r="N44" s="19" t="b">
        <v>1</v>
      </c>
      <c r="O44" s="19" t="b">
        <v>1</v>
      </c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</row>
    <row r="45" ht="15.75" customHeight="1" outlineLevel="1">
      <c r="A45" s="19" t="b">
        <v>0</v>
      </c>
      <c r="B45" s="34" t="s">
        <v>456</v>
      </c>
      <c r="C45" s="35" t="s">
        <v>20</v>
      </c>
      <c r="D45" s="34" t="s">
        <v>21</v>
      </c>
      <c r="E45" s="34">
        <v>3.5</v>
      </c>
      <c r="F45" s="34">
        <v>2.0</v>
      </c>
      <c r="G45" s="34" t="s">
        <v>30</v>
      </c>
      <c r="H45" s="34" t="s">
        <v>23</v>
      </c>
      <c r="I45" s="34" t="s">
        <v>23</v>
      </c>
      <c r="J45" s="131">
        <v>45877.0</v>
      </c>
      <c r="K45" s="19" t="b">
        <v>1</v>
      </c>
      <c r="L45" s="19" t="b">
        <v>1</v>
      </c>
      <c r="M45" s="19" t="b">
        <v>1</v>
      </c>
      <c r="N45" s="19" t="b">
        <v>1</v>
      </c>
      <c r="O45" s="19" t="b">
        <v>1</v>
      </c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</row>
    <row r="46" ht="15.75" customHeight="1" outlineLevel="1">
      <c r="A46" s="19" t="b">
        <v>0</v>
      </c>
      <c r="B46" s="34" t="s">
        <v>446</v>
      </c>
      <c r="C46" s="35" t="s">
        <v>82</v>
      </c>
      <c r="D46" s="34" t="s">
        <v>21</v>
      </c>
      <c r="E46" s="34">
        <v>1.0</v>
      </c>
      <c r="F46" s="34">
        <v>1.0</v>
      </c>
      <c r="G46" s="34" t="s">
        <v>22</v>
      </c>
      <c r="H46" s="34" t="s">
        <v>23</v>
      </c>
      <c r="I46" s="34" t="s">
        <v>23</v>
      </c>
      <c r="J46" s="252">
        <v>45884.0</v>
      </c>
      <c r="K46" s="19" t="b">
        <v>1</v>
      </c>
      <c r="L46" s="19" t="b">
        <v>0</v>
      </c>
      <c r="M46" s="19" t="b">
        <v>1</v>
      </c>
      <c r="N46" s="19" t="b">
        <v>1</v>
      </c>
      <c r="O46" s="19" t="b">
        <v>0</v>
      </c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</row>
    <row r="47" ht="15.75" customHeight="1" outlineLevel="1">
      <c r="A47" s="19" t="b">
        <v>0</v>
      </c>
      <c r="B47" s="34" t="s">
        <v>621</v>
      </c>
      <c r="C47" s="35" t="s">
        <v>20</v>
      </c>
      <c r="D47" s="34" t="s">
        <v>21</v>
      </c>
      <c r="E47" s="34">
        <v>5.0</v>
      </c>
      <c r="F47" s="34">
        <v>2.0</v>
      </c>
      <c r="G47" s="34" t="s">
        <v>45</v>
      </c>
      <c r="H47" s="34" t="s">
        <v>23</v>
      </c>
      <c r="I47" s="34" t="s">
        <v>31</v>
      </c>
      <c r="J47" s="366">
        <v>45870.0</v>
      </c>
      <c r="K47" s="19" t="b">
        <v>1</v>
      </c>
      <c r="L47" s="19" t="b">
        <v>1</v>
      </c>
      <c r="M47" s="19" t="b">
        <v>1</v>
      </c>
      <c r="N47" s="19" t="b">
        <v>1</v>
      </c>
      <c r="O47" s="19" t="b">
        <v>1</v>
      </c>
      <c r="P47" s="367" t="s">
        <v>706</v>
      </c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</row>
    <row r="48" ht="15.75" customHeight="1" outlineLevel="1">
      <c r="A48" s="19" t="b">
        <v>0</v>
      </c>
      <c r="B48" s="27" t="s">
        <v>680</v>
      </c>
      <c r="C48" s="28" t="s">
        <v>20</v>
      </c>
      <c r="D48" s="27" t="s">
        <v>21</v>
      </c>
      <c r="E48" s="27">
        <v>2.0</v>
      </c>
      <c r="F48" s="27">
        <v>2.0</v>
      </c>
      <c r="G48" s="34" t="s">
        <v>113</v>
      </c>
      <c r="H48" s="27" t="s">
        <v>23</v>
      </c>
      <c r="I48" s="27" t="s">
        <v>23</v>
      </c>
      <c r="J48" s="92" t="s">
        <v>707</v>
      </c>
      <c r="K48" s="19" t="b">
        <v>1</v>
      </c>
      <c r="L48" s="19" t="b">
        <v>1</v>
      </c>
      <c r="M48" s="19" t="b">
        <v>1</v>
      </c>
      <c r="N48" s="19" t="b">
        <v>1</v>
      </c>
      <c r="O48" s="19" t="b">
        <v>1</v>
      </c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</row>
    <row r="49" ht="15.75" customHeight="1" outlineLevel="1">
      <c r="A49" s="19" t="b">
        <v>0</v>
      </c>
      <c r="B49" s="27" t="s">
        <v>682</v>
      </c>
      <c r="C49" s="28" t="s">
        <v>20</v>
      </c>
      <c r="D49" s="27" t="s">
        <v>21</v>
      </c>
      <c r="E49" s="27">
        <v>2.0</v>
      </c>
      <c r="F49" s="27">
        <v>2.0</v>
      </c>
      <c r="G49" s="34" t="s">
        <v>113</v>
      </c>
      <c r="H49" s="27" t="s">
        <v>23</v>
      </c>
      <c r="I49" s="27" t="s">
        <v>23</v>
      </c>
      <c r="J49" s="92" t="s">
        <v>707</v>
      </c>
      <c r="K49" s="19" t="b">
        <v>1</v>
      </c>
      <c r="L49" s="19" t="b">
        <v>0</v>
      </c>
      <c r="M49" s="19" t="b">
        <v>0</v>
      </c>
      <c r="N49" s="19" t="b">
        <v>0</v>
      </c>
      <c r="O49" s="19" t="b">
        <v>0</v>
      </c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</row>
    <row r="50" ht="15.75" customHeight="1" outlineLevel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155"/>
      <c r="L50" s="155"/>
      <c r="M50" s="155"/>
      <c r="N50" s="19"/>
      <c r="O50" s="155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</row>
    <row r="51" ht="15.75" customHeight="1" outlineLevel="1">
      <c r="A51" s="34"/>
      <c r="B51" s="34"/>
      <c r="C51" s="34"/>
      <c r="D51" s="34"/>
      <c r="E51" s="34">
        <f>SUM(E2:E49)</f>
        <v>215.5</v>
      </c>
      <c r="F51" s="34"/>
      <c r="G51" s="34"/>
      <c r="H51" s="34"/>
      <c r="I51" s="34"/>
      <c r="J51" s="34"/>
      <c r="K51" s="155"/>
      <c r="L51" s="155"/>
      <c r="M51" s="155"/>
      <c r="N51" s="19"/>
      <c r="O51" s="155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</row>
    <row r="52" ht="15.75" customHeight="1" outlineLevel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155"/>
      <c r="L52" s="155"/>
      <c r="M52" s="155"/>
      <c r="N52" s="155"/>
      <c r="O52" s="155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</row>
    <row r="53" ht="15.75" customHeight="1" outlineLevel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155"/>
      <c r="L53" s="155"/>
      <c r="M53" s="155"/>
      <c r="N53" s="155"/>
      <c r="O53" s="155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</row>
    <row r="54" ht="15.75" customHeight="1" outlineLevel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155"/>
      <c r="L54" s="155"/>
      <c r="M54" s="155"/>
      <c r="N54" s="155"/>
      <c r="O54" s="155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</row>
    <row r="55" ht="15.75" customHeight="1" outlineLevel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155"/>
      <c r="L55" s="155"/>
      <c r="M55" s="155"/>
      <c r="N55" s="155"/>
      <c r="O55" s="155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</row>
    <row r="56" ht="15.75" customHeight="1" outlineLevel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155"/>
      <c r="L56" s="155"/>
      <c r="M56" s="155"/>
      <c r="N56" s="155"/>
      <c r="O56" s="155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</row>
    <row r="57" ht="15.75" customHeight="1" outlineLevel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155"/>
      <c r="L57" s="155"/>
      <c r="M57" s="155"/>
      <c r="N57" s="155"/>
      <c r="O57" s="155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</row>
    <row r="58" ht="15.75" customHeight="1" outlineLevel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155"/>
      <c r="L58" s="155"/>
      <c r="M58" s="155"/>
      <c r="N58" s="155"/>
      <c r="O58" s="155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</row>
    <row r="59" ht="15.75" customHeight="1" outlineLevel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155"/>
      <c r="L59" s="155"/>
      <c r="M59" s="155"/>
      <c r="N59" s="155"/>
      <c r="O59" s="155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</row>
    <row r="60" ht="15.75" customHeight="1" outlineLevel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155"/>
      <c r="L60" s="155"/>
      <c r="M60" s="155"/>
      <c r="N60" s="155"/>
      <c r="O60" s="155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</row>
    <row r="61" ht="15.75" customHeight="1" outlineLevel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155"/>
      <c r="L61" s="155"/>
      <c r="M61" s="155"/>
      <c r="N61" s="155"/>
      <c r="O61" s="155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</row>
    <row r="62" ht="15.75" customHeight="1" outlineLevel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155"/>
      <c r="L62" s="155"/>
      <c r="M62" s="155"/>
      <c r="N62" s="155"/>
      <c r="O62" s="155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</row>
    <row r="63" ht="15.75" customHeight="1" outlineLevel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155"/>
      <c r="L63" s="155"/>
      <c r="M63" s="155"/>
      <c r="N63" s="155"/>
      <c r="O63" s="155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</row>
    <row r="64" ht="15.75" customHeight="1" outlineLevel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155"/>
      <c r="L64" s="155"/>
      <c r="M64" s="155"/>
      <c r="N64" s="155"/>
      <c r="O64" s="155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</row>
    <row r="65" ht="15.75" customHeight="1" outlineLevel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155"/>
      <c r="L65" s="155"/>
      <c r="M65" s="155"/>
      <c r="N65" s="155"/>
      <c r="O65" s="155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</row>
    <row r="66" ht="15.75" customHeight="1" outlineLevel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155"/>
      <c r="L66" s="155"/>
      <c r="M66" s="155"/>
      <c r="N66" s="155"/>
      <c r="O66" s="155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</row>
    <row r="67" ht="15.75" customHeight="1" outlineLevel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155"/>
      <c r="L67" s="155"/>
      <c r="M67" s="155"/>
      <c r="N67" s="155"/>
      <c r="O67" s="155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</row>
    <row r="68" ht="15.75" customHeight="1" outlineLevel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155"/>
      <c r="L68" s="155"/>
      <c r="M68" s="155"/>
      <c r="N68" s="155"/>
      <c r="O68" s="155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</row>
    <row r="69" ht="15.75" customHeight="1" outlineLevel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155"/>
      <c r="L69" s="155"/>
      <c r="M69" s="155"/>
      <c r="N69" s="155"/>
      <c r="O69" s="155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</row>
    <row r="70" ht="15.75" customHeight="1" outlineLevel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155"/>
      <c r="L70" s="155"/>
      <c r="M70" s="155"/>
      <c r="N70" s="155"/>
      <c r="O70" s="155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</row>
    <row r="71" ht="15.75" customHeight="1" outlineLevel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155"/>
      <c r="L71" s="155"/>
      <c r="M71" s="155"/>
      <c r="N71" s="155"/>
      <c r="O71" s="155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</row>
    <row r="72" ht="15.75" customHeight="1" outlineLevel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155"/>
      <c r="L72" s="155"/>
      <c r="M72" s="155"/>
      <c r="N72" s="155"/>
      <c r="O72" s="155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</row>
    <row r="73" ht="15.75" customHeight="1" outlineLevel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155"/>
      <c r="L73" s="155"/>
      <c r="M73" s="155"/>
      <c r="N73" s="155"/>
      <c r="O73" s="155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</row>
    <row r="74" ht="15.75" customHeight="1" outlineLevel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155"/>
      <c r="L74" s="155"/>
      <c r="M74" s="155"/>
      <c r="N74" s="155"/>
      <c r="O74" s="155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</row>
    <row r="75" ht="15.75" customHeight="1" outlineLevel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155"/>
      <c r="L75" s="155"/>
      <c r="M75" s="155"/>
      <c r="N75" s="155"/>
      <c r="O75" s="155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</row>
    <row r="76" ht="15.75" customHeight="1" outlineLevel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155"/>
      <c r="L76" s="155"/>
      <c r="M76" s="155"/>
      <c r="N76" s="155"/>
      <c r="O76" s="155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</row>
    <row r="77" ht="15.75" customHeight="1" outlineLevel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155"/>
      <c r="L77" s="155"/>
      <c r="M77" s="155"/>
      <c r="N77" s="155"/>
      <c r="O77" s="155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</row>
    <row r="78" ht="15.75" customHeight="1" outlineLevel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155"/>
      <c r="L78" s="155"/>
      <c r="M78" s="155"/>
      <c r="N78" s="155"/>
      <c r="O78" s="155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</row>
    <row r="79" ht="15.75" customHeight="1" outlineLevel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155"/>
      <c r="L79" s="155"/>
      <c r="M79" s="155"/>
      <c r="N79" s="155"/>
      <c r="O79" s="155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</row>
    <row r="80" ht="15.75" customHeight="1" outlineLevel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155"/>
      <c r="L80" s="155"/>
      <c r="M80" s="155"/>
      <c r="N80" s="155"/>
      <c r="O80" s="155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</row>
    <row r="81" ht="15.75" customHeight="1" outlineLevel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155"/>
      <c r="L81" s="155"/>
      <c r="M81" s="155"/>
      <c r="N81" s="155"/>
      <c r="O81" s="155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</row>
    <row r="82" ht="15.75" customHeight="1" outlineLevel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155"/>
      <c r="L82" s="155"/>
      <c r="M82" s="155"/>
      <c r="N82" s="155"/>
      <c r="O82" s="155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</row>
    <row r="83" ht="15.75" customHeight="1" outlineLevel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155"/>
      <c r="L83" s="155"/>
      <c r="M83" s="155"/>
      <c r="N83" s="155"/>
      <c r="O83" s="155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</row>
    <row r="84" ht="15.75" customHeight="1" outlineLevel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155"/>
      <c r="L84" s="155"/>
      <c r="M84" s="155"/>
      <c r="N84" s="155"/>
      <c r="O84" s="155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</row>
    <row r="85" ht="15.75" customHeight="1" outlineLevel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155"/>
      <c r="L85" s="155"/>
      <c r="M85" s="155"/>
      <c r="N85" s="155"/>
      <c r="O85" s="155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</row>
    <row r="86" ht="15.75" customHeight="1" outlineLevel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155"/>
      <c r="L86" s="155"/>
      <c r="M86" s="155"/>
      <c r="N86" s="155"/>
      <c r="O86" s="155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</row>
    <row r="87" ht="15.75" customHeight="1" outlineLevel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155"/>
      <c r="L87" s="155"/>
      <c r="M87" s="155"/>
      <c r="N87" s="155"/>
      <c r="O87" s="155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</row>
    <row r="88" ht="15.75" customHeight="1" outlineLevel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155"/>
      <c r="L88" s="155"/>
      <c r="M88" s="155"/>
      <c r="N88" s="155"/>
      <c r="O88" s="155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</row>
    <row r="89" ht="15.75" customHeight="1" outlineLevel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155"/>
      <c r="L89" s="155"/>
      <c r="M89" s="155"/>
      <c r="N89" s="155"/>
      <c r="O89" s="155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</row>
    <row r="90" ht="15.75" customHeight="1" outlineLevel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155"/>
      <c r="L90" s="155"/>
      <c r="M90" s="155"/>
      <c r="N90" s="155"/>
      <c r="O90" s="155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</row>
    <row r="91" ht="15.75" customHeight="1" outlineLevel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155"/>
      <c r="L91" s="155"/>
      <c r="M91" s="155"/>
      <c r="N91" s="155"/>
      <c r="O91" s="155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</row>
    <row r="92" ht="15.75" customHeight="1" outlineLevel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155"/>
      <c r="L92" s="155"/>
      <c r="M92" s="155"/>
      <c r="N92" s="155"/>
      <c r="O92" s="155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</row>
    <row r="93" ht="15.75" customHeight="1" outlineLevel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155"/>
      <c r="L93" s="155"/>
      <c r="M93" s="155"/>
      <c r="N93" s="155"/>
      <c r="O93" s="155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</row>
    <row r="94" ht="15.75" customHeight="1" outlineLevel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155"/>
      <c r="L94" s="155"/>
      <c r="M94" s="155"/>
      <c r="N94" s="155"/>
      <c r="O94" s="155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</row>
    <row r="95" ht="15.75" customHeight="1" outlineLevel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155"/>
      <c r="L95" s="155"/>
      <c r="M95" s="155"/>
      <c r="N95" s="155"/>
      <c r="O95" s="155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</row>
    <row r="96" ht="15.75" customHeight="1" outlineLevel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155"/>
      <c r="L96" s="155"/>
      <c r="M96" s="155"/>
      <c r="N96" s="155"/>
      <c r="O96" s="155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</row>
    <row r="97" ht="15.75" customHeight="1" outlineLevel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155"/>
      <c r="L97" s="155"/>
      <c r="M97" s="155"/>
      <c r="N97" s="155"/>
      <c r="O97" s="155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</row>
    <row r="98" ht="15.75" customHeight="1" outlineLevel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155"/>
      <c r="L98" s="155"/>
      <c r="M98" s="155"/>
      <c r="N98" s="155"/>
      <c r="O98" s="155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</row>
    <row r="99" ht="15.75" customHeight="1" outlineLevel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155"/>
      <c r="L99" s="155"/>
      <c r="M99" s="155"/>
      <c r="N99" s="155"/>
      <c r="O99" s="155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</row>
    <row r="100" ht="15.75" customHeight="1" outlineLevel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155"/>
      <c r="L100" s="155"/>
      <c r="M100" s="155"/>
      <c r="N100" s="155"/>
      <c r="O100" s="155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</row>
    <row r="101" ht="15.75" customHeight="1" outlineLevel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155"/>
      <c r="L101" s="155"/>
      <c r="M101" s="155"/>
      <c r="N101" s="155"/>
      <c r="O101" s="155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</row>
    <row r="102" ht="15.75" customHeight="1" outlineLevel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155"/>
      <c r="L102" s="155"/>
      <c r="M102" s="155"/>
      <c r="N102" s="155"/>
      <c r="O102" s="155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</row>
    <row r="103" ht="15.75" customHeight="1" outlineLevel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155"/>
      <c r="L103" s="155"/>
      <c r="M103" s="155"/>
      <c r="N103" s="155"/>
      <c r="O103" s="155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</row>
    <row r="104" ht="15.75" customHeight="1">
      <c r="A104" s="117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</row>
    <row r="105" ht="15.75" customHeight="1">
      <c r="A105" s="117"/>
      <c r="B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</row>
    <row r="106" ht="15.75" customHeight="1">
      <c r="A106" s="117"/>
      <c r="B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</row>
    <row r="107" ht="15.75" customHeight="1">
      <c r="A107" s="118"/>
      <c r="B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</row>
    <row r="108" ht="15.75" customHeight="1">
      <c r="A108" s="118"/>
      <c r="B108" s="118"/>
      <c r="N108" s="36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</row>
    <row r="109" ht="15.75" customHeight="1">
      <c r="A109" s="118"/>
      <c r="B109" s="118"/>
      <c r="N109" s="116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</row>
    <row r="110" ht="15.75" customHeight="1">
      <c r="A110" s="118"/>
      <c r="B110" s="118"/>
      <c r="N110" s="155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</row>
    <row r="111" ht="15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55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</row>
    <row r="112" ht="15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55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</row>
    <row r="113" ht="15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55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</row>
    <row r="114" ht="15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55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</row>
    <row r="115" ht="15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55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</row>
    <row r="116" ht="15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55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</row>
    <row r="117" ht="15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55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</row>
    <row r="118" ht="15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55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</row>
    <row r="119" ht="15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55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</row>
    <row r="120" ht="15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55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</row>
    <row r="121" ht="15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55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</row>
    <row r="122" ht="15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55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</row>
    <row r="123" ht="15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55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</row>
    <row r="124" ht="15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55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</row>
    <row r="125" ht="15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55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</row>
    <row r="126" ht="15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55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</row>
    <row r="127" ht="15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55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</row>
    <row r="128" ht="15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55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</row>
    <row r="129" ht="15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55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</row>
    <row r="130" ht="15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55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</row>
    <row r="131" ht="15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55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</row>
    <row r="132" ht="15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55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</row>
    <row r="133" ht="15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55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</row>
    <row r="134" ht="15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55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</row>
    <row r="135" ht="15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55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</row>
    <row r="136" ht="15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55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</row>
    <row r="137" ht="15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55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</row>
    <row r="138" ht="15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55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</row>
    <row r="139" ht="15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55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</row>
    <row r="140" ht="15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55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</row>
    <row r="141" ht="15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55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</row>
    <row r="142" ht="15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55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</row>
    <row r="143" ht="15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55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</row>
    <row r="144" ht="15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55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</row>
    <row r="145" ht="15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55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</row>
    <row r="146" ht="15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55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</row>
    <row r="147" ht="15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55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</row>
    <row r="148" ht="15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55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</row>
    <row r="149" ht="15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55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</row>
    <row r="150" ht="15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55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</row>
    <row r="151" ht="15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55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</row>
    <row r="152" ht="15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55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</row>
    <row r="153" ht="15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55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</row>
    <row r="154" ht="15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55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</row>
    <row r="155" ht="15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55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</row>
    <row r="156" ht="15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55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</row>
    <row r="157" ht="15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55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</row>
    <row r="158" ht="15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55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</row>
    <row r="159" ht="15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55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</row>
    <row r="160" ht="15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55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</row>
    <row r="161" ht="15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55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</row>
    <row r="162" ht="15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55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</row>
    <row r="163" ht="15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55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</row>
    <row r="164" ht="15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55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</row>
    <row r="165" ht="15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55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</row>
    <row r="166" ht="15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55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</row>
    <row r="167" ht="15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55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</row>
    <row r="168" ht="15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55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</row>
    <row r="169" ht="15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55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</row>
    <row r="170" ht="15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55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</row>
    <row r="171" ht="15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55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</row>
    <row r="172" ht="15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55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</row>
    <row r="173" ht="15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55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</row>
    <row r="174" ht="15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55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</row>
    <row r="175" ht="15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55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</row>
    <row r="176" ht="15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55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</row>
    <row r="177" ht="15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55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</row>
    <row r="178" ht="15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55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</row>
    <row r="179" ht="15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55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</row>
    <row r="180" ht="15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55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</row>
    <row r="181" ht="15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55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</row>
    <row r="182" ht="15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55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</row>
    <row r="183" ht="15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55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</row>
    <row r="184" ht="15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55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</row>
    <row r="185" ht="15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55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</row>
    <row r="186" ht="15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55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</row>
    <row r="187" ht="15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55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</row>
    <row r="188" ht="15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55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</row>
    <row r="189" ht="15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55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</row>
    <row r="190" ht="15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55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</row>
    <row r="191" ht="15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55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</row>
    <row r="192" ht="15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55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</row>
    <row r="193" ht="15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55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</row>
    <row r="194" ht="15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55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</row>
    <row r="195" ht="15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55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</row>
    <row r="196" ht="15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55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</row>
    <row r="197" ht="15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55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</row>
    <row r="198" ht="15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55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</row>
    <row r="199" ht="15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55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</row>
    <row r="200" ht="15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55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</row>
    <row r="201" ht="15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55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</row>
    <row r="202" ht="15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55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</row>
    <row r="203" ht="15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55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</row>
    <row r="204" ht="15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55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</row>
    <row r="205" ht="15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55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</row>
    <row r="206" ht="15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55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</row>
    <row r="207" ht="15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55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</row>
    <row r="208" ht="15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55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</row>
    <row r="209" ht="15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55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</row>
    <row r="210" ht="15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55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</row>
    <row r="211" ht="15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55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</row>
    <row r="212" ht="15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55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</row>
    <row r="213" ht="15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55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</row>
    <row r="214" ht="15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55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</row>
    <row r="215" ht="15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55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</row>
    <row r="216" ht="15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55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</row>
    <row r="217" ht="15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55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</row>
    <row r="218" ht="15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55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</row>
    <row r="219" ht="15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55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</row>
    <row r="220" ht="15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55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</row>
    <row r="221" ht="15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55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</row>
    <row r="222" ht="15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55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</row>
    <row r="223" ht="15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55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</row>
    <row r="224" ht="15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55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</row>
    <row r="225" ht="15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55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</row>
    <row r="226" ht="15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55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</row>
    <row r="227" ht="15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55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</row>
    <row r="228" ht="15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55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</row>
    <row r="229" ht="15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55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</row>
    <row r="230" ht="15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55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</row>
    <row r="231" ht="15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55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</row>
    <row r="232" ht="15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55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</row>
    <row r="233" ht="15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55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</row>
    <row r="234" ht="15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55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</row>
    <row r="235" ht="15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55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</row>
    <row r="236" ht="15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55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</row>
    <row r="237" ht="15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55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</row>
    <row r="238" ht="15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55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</row>
    <row r="239" ht="15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55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</row>
    <row r="240" ht="15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55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</row>
    <row r="241" ht="15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55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</row>
    <row r="242" ht="15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55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</row>
    <row r="243" ht="15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55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</row>
    <row r="244" ht="15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55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</row>
    <row r="245" ht="15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55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</row>
    <row r="246" ht="15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55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</row>
    <row r="247" ht="15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55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</row>
    <row r="248" ht="15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55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</row>
    <row r="249" ht="15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55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</row>
    <row r="250" ht="15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55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</row>
    <row r="251" ht="15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55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</row>
    <row r="252" ht="15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55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</row>
    <row r="253" ht="15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55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</row>
    <row r="254" ht="15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55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</row>
    <row r="255" ht="15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55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</row>
    <row r="256" ht="15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55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</row>
    <row r="257" ht="15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55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</row>
    <row r="258" ht="15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55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</row>
    <row r="259" ht="15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55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</row>
    <row r="260" ht="15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55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</row>
    <row r="261" ht="15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55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</row>
    <row r="262" ht="15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55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</row>
    <row r="263" ht="15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55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</row>
    <row r="264" ht="15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55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</row>
    <row r="265" ht="15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55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</row>
    <row r="266" ht="15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55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</row>
    <row r="267" ht="15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55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</row>
    <row r="268" ht="15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55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</row>
    <row r="269" ht="15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55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</row>
    <row r="270" ht="15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55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</row>
    <row r="271" ht="15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55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</row>
    <row r="272" ht="15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55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</row>
    <row r="273" ht="15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55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</row>
    <row r="274" ht="15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55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</row>
    <row r="275" ht="15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55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</row>
    <row r="276" ht="15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55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</row>
    <row r="277" ht="15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55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</row>
    <row r="278" ht="15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55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</row>
    <row r="279" ht="15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55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</row>
    <row r="280" ht="15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55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</row>
    <row r="281" ht="15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55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</row>
    <row r="282" ht="15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55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</row>
    <row r="283" ht="15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55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</row>
    <row r="284" ht="15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55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</row>
    <row r="285" ht="15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55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</row>
    <row r="286" ht="15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55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</row>
    <row r="287" ht="15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55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</row>
    <row r="288" ht="15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55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</row>
    <row r="289" ht="15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55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</row>
    <row r="290" ht="15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55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</row>
    <row r="291" ht="15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55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</row>
    <row r="292" ht="15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55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</row>
    <row r="293" ht="15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55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</row>
    <row r="294" ht="15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55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</row>
    <row r="295" ht="15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55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</row>
    <row r="296" ht="15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55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</row>
    <row r="297" ht="15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55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</row>
    <row r="298" ht="15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55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</row>
    <row r="299" ht="15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55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</row>
    <row r="300" ht="15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55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</row>
    <row r="301" ht="15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55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</row>
    <row r="302" ht="15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55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</row>
    <row r="303" ht="15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55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</row>
    <row r="304" ht="15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55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</row>
    <row r="305" ht="15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55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</row>
    <row r="306" ht="15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55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</row>
    <row r="307" ht="15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55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</row>
    <row r="308" ht="15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55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</row>
    <row r="309" ht="15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55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</row>
    <row r="310" ht="15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55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</row>
    <row r="311" ht="15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55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</row>
    <row r="312" ht="15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55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</row>
    <row r="313" ht="15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55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</row>
    <row r="314" ht="15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55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</row>
    <row r="315" ht="15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55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</row>
    <row r="316" ht="15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55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</row>
    <row r="317" ht="15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55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</row>
    <row r="318" ht="15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55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</row>
    <row r="319" ht="15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55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</row>
    <row r="320" ht="15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55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</row>
    <row r="321" ht="15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55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</row>
    <row r="322" ht="15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55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</row>
    <row r="323" ht="15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55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</row>
    <row r="324" ht="15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55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</row>
    <row r="325" ht="15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55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</row>
    <row r="326" ht="15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55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</row>
    <row r="327" ht="15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55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</row>
    <row r="328" ht="15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55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</row>
    <row r="329" ht="15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55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</row>
    <row r="330" ht="15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55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</row>
    <row r="331" ht="15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55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</row>
    <row r="332" ht="15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55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</row>
    <row r="333" ht="15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55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</row>
    <row r="334" ht="15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55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</row>
    <row r="335" ht="15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55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</row>
    <row r="336" ht="15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55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</row>
    <row r="337" ht="15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55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</row>
    <row r="338" ht="15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55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</row>
    <row r="339" ht="15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55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</row>
    <row r="340" ht="15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55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</row>
    <row r="341" ht="15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55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</row>
    <row r="342" ht="15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55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</row>
    <row r="343" ht="15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55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</row>
    <row r="344" ht="15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55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</row>
    <row r="345" ht="15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55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</row>
    <row r="346" ht="15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55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</row>
    <row r="347" ht="15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55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</row>
    <row r="348" ht="15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55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</row>
    <row r="349" ht="15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55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</row>
    <row r="350" ht="15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55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</row>
    <row r="351" ht="15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55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</row>
    <row r="352" ht="15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55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</row>
    <row r="353" ht="15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55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</row>
    <row r="354" ht="15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55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</row>
    <row r="355" ht="15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55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</row>
    <row r="356" ht="15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55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</row>
    <row r="357" ht="15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55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</row>
    <row r="358" ht="15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55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</row>
    <row r="359" ht="15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55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</row>
    <row r="360" ht="15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55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</row>
    <row r="361" ht="15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55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</row>
    <row r="362" ht="15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55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</row>
    <row r="363" ht="15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55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</row>
    <row r="364" ht="15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55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</row>
    <row r="365" ht="15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55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</row>
    <row r="366" ht="15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55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</row>
    <row r="367" ht="15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55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</row>
    <row r="368" ht="15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55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</row>
    <row r="369" ht="15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55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</row>
    <row r="370" ht="15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55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</row>
    <row r="371" ht="15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55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</row>
    <row r="372" ht="15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55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</row>
    <row r="373" ht="15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55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</row>
    <row r="374" ht="15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55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</row>
    <row r="375" ht="15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55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</row>
    <row r="376" ht="15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55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</row>
    <row r="377" ht="15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55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</row>
    <row r="378" ht="15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55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</row>
    <row r="379" ht="15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55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</row>
    <row r="380" ht="15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55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</row>
    <row r="381" ht="15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55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</row>
    <row r="382" ht="15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55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</row>
    <row r="383" ht="15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55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</row>
    <row r="384" ht="15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55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</row>
    <row r="385" ht="15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55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</row>
    <row r="386" ht="15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55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</row>
    <row r="387" ht="15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55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</row>
    <row r="388" ht="15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55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</row>
    <row r="389" ht="15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55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</row>
    <row r="390" ht="15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55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</row>
    <row r="391" ht="15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55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</row>
    <row r="392" ht="15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55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</row>
    <row r="393" ht="15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55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</row>
    <row r="394" ht="15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55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</row>
    <row r="395" ht="15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55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</row>
    <row r="396" ht="15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55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</row>
    <row r="397" ht="15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55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</row>
    <row r="398" ht="15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55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</row>
    <row r="399" ht="15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55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</row>
    <row r="400" ht="15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55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</row>
    <row r="401" ht="15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55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</row>
    <row r="402" ht="15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55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</row>
    <row r="403" ht="15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55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</row>
    <row r="404" ht="15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55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</row>
    <row r="405" ht="15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55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</row>
    <row r="406" ht="15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55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</row>
    <row r="407" ht="15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55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</row>
    <row r="408" ht="15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55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</row>
    <row r="409" ht="15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55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</row>
    <row r="410" ht="15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55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</row>
    <row r="411" ht="15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55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</row>
    <row r="412" ht="15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55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</row>
    <row r="413" ht="15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55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</row>
    <row r="414" ht="15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55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</row>
    <row r="415" ht="15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55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</row>
    <row r="416" ht="15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55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</row>
    <row r="417" ht="15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55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</row>
    <row r="418" ht="15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55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</row>
    <row r="419" ht="15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55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</row>
    <row r="420" ht="15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55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</row>
    <row r="421" ht="15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55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</row>
    <row r="422" ht="15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55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</row>
    <row r="423" ht="15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55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</row>
    <row r="424" ht="15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55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</row>
    <row r="425" ht="15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55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</row>
    <row r="426" ht="15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55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</row>
    <row r="427" ht="15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55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</row>
    <row r="428" ht="15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55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</row>
    <row r="429" ht="15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55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</row>
    <row r="430" ht="15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55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</row>
    <row r="431" ht="15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55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</row>
    <row r="432" ht="15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55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</row>
    <row r="433" ht="15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55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</row>
    <row r="434" ht="15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55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</row>
    <row r="435" ht="15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55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</row>
    <row r="436" ht="15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55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</row>
    <row r="437" ht="15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55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</row>
    <row r="438" ht="15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55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</row>
    <row r="439" ht="15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55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</row>
    <row r="440" ht="15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55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</row>
    <row r="441" ht="15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55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</row>
    <row r="442" ht="15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55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</row>
    <row r="443" ht="15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55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</row>
    <row r="444" ht="15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55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</row>
    <row r="445" ht="15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55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</row>
    <row r="446" ht="15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55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</row>
    <row r="447" ht="15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55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</row>
    <row r="448" ht="15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55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</row>
    <row r="449" ht="15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55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</row>
    <row r="450" ht="15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55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</row>
    <row r="451" ht="15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55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</row>
    <row r="452" ht="15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55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</row>
    <row r="453" ht="15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55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</row>
    <row r="454" ht="15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55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</row>
    <row r="455" ht="15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55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</row>
    <row r="456" ht="15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55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</row>
    <row r="457" ht="15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55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</row>
    <row r="458" ht="15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55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</row>
    <row r="459" ht="15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55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</row>
    <row r="460" ht="15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55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</row>
    <row r="461" ht="15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55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</row>
    <row r="462" ht="15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55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</row>
    <row r="463" ht="15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55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</row>
    <row r="464" ht="15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55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</row>
    <row r="465" ht="15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55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</row>
    <row r="466" ht="15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55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</row>
    <row r="467" ht="15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55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</row>
    <row r="468" ht="15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55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</row>
    <row r="469" ht="15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55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</row>
    <row r="470" ht="15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55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</row>
    <row r="471" ht="15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55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</row>
    <row r="472" ht="15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55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</row>
    <row r="473" ht="15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55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</row>
    <row r="474" ht="15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55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</row>
    <row r="475" ht="15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55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</row>
    <row r="476" ht="15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55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</row>
    <row r="477" ht="15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55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</row>
    <row r="478" ht="15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55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</row>
    <row r="479" ht="15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55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</row>
    <row r="480" ht="15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55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</row>
    <row r="481" ht="15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55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</row>
    <row r="482" ht="15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55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</row>
    <row r="483" ht="15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55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</row>
    <row r="484" ht="15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55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</row>
    <row r="485" ht="15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55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</row>
    <row r="486" ht="15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55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</row>
    <row r="487" ht="15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55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</row>
    <row r="488" ht="15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55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</row>
    <row r="489" ht="15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55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</row>
    <row r="490" ht="15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55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</row>
    <row r="491" ht="15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55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</row>
    <row r="492" ht="15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55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</row>
    <row r="493" ht="15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55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</row>
    <row r="494" ht="15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55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</row>
    <row r="495" ht="15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55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</row>
    <row r="496" ht="15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55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</row>
    <row r="497" ht="15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55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</row>
    <row r="498" ht="15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55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</row>
    <row r="499" ht="15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55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</row>
    <row r="500" ht="15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55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</row>
    <row r="501" ht="15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55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</row>
    <row r="502" ht="15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55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</row>
    <row r="503" ht="15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55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</row>
    <row r="504" ht="15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55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</row>
    <row r="505" ht="15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55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</row>
    <row r="506" ht="15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55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</row>
    <row r="507" ht="15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55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</row>
    <row r="508" ht="15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55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</row>
    <row r="509" ht="15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55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</row>
    <row r="510" ht="15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55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</row>
    <row r="511" ht="15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55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</row>
    <row r="512" ht="15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55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</row>
    <row r="513" ht="15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55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</row>
    <row r="514" ht="15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55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</row>
    <row r="515" ht="15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55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</row>
    <row r="516" ht="15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55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</row>
    <row r="517" ht="15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55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</row>
    <row r="518" ht="15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55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</row>
    <row r="519" ht="15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55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</row>
    <row r="520" ht="15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55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</row>
    <row r="521" ht="15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55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</row>
    <row r="522" ht="15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55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</row>
    <row r="523" ht="15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55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</row>
    <row r="524" ht="15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55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</row>
    <row r="525" ht="15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55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</row>
    <row r="526" ht="15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55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</row>
    <row r="527" ht="15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55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</row>
    <row r="528" ht="15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55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</row>
    <row r="529" ht="15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55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</row>
    <row r="530" ht="15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55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</row>
    <row r="531" ht="15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55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</row>
    <row r="532" ht="15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55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</row>
    <row r="533" ht="15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55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</row>
    <row r="534" ht="15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55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</row>
    <row r="535" ht="15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55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</row>
    <row r="536" ht="15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55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</row>
    <row r="537" ht="15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55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</row>
    <row r="538" ht="15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55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</row>
    <row r="539" ht="15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55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</row>
    <row r="540" ht="15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55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</row>
    <row r="541" ht="15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55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</row>
    <row r="542" ht="15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55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</row>
    <row r="543" ht="15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55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</row>
    <row r="544" ht="15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55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</row>
    <row r="545" ht="15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55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</row>
    <row r="546" ht="15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55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</row>
    <row r="547" ht="15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55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</row>
    <row r="548" ht="15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55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</row>
    <row r="549" ht="15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55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</row>
    <row r="550" ht="15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55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</row>
    <row r="551" ht="15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55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</row>
    <row r="552" ht="15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55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</row>
    <row r="553" ht="15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55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</row>
    <row r="554" ht="15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55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</row>
    <row r="555" ht="15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55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</row>
    <row r="556" ht="15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55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</row>
    <row r="557" ht="15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55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</row>
    <row r="558" ht="15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55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</row>
    <row r="559" ht="15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55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</row>
    <row r="560" ht="15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55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</row>
    <row r="561" ht="15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55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</row>
    <row r="562" ht="15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55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</row>
    <row r="563" ht="15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55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</row>
    <row r="564" ht="15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55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</row>
    <row r="565" ht="15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55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</row>
    <row r="566" ht="15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55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</row>
    <row r="567" ht="15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55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</row>
    <row r="568" ht="15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55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</row>
    <row r="569" ht="15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55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</row>
    <row r="570" ht="15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55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</row>
    <row r="571" ht="15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55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</row>
    <row r="572" ht="15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55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</row>
    <row r="573" ht="15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55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</row>
    <row r="574" ht="15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55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</row>
    <row r="575" ht="15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55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</row>
    <row r="576" ht="15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55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</row>
    <row r="577" ht="15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55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</row>
    <row r="578" ht="15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55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</row>
    <row r="579" ht="15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55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</row>
    <row r="580" ht="15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55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</row>
    <row r="581" ht="15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55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</row>
    <row r="582" ht="15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55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</row>
    <row r="583" ht="15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55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</row>
    <row r="584" ht="15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55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</row>
    <row r="585" ht="15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55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</row>
    <row r="586" ht="15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55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</row>
    <row r="587" ht="15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55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</row>
    <row r="588" ht="15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55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</row>
    <row r="589" ht="15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55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</row>
    <row r="590" ht="15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55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</row>
    <row r="591" ht="15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55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</row>
    <row r="592" ht="15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55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</row>
    <row r="593" ht="15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55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</row>
    <row r="594" ht="15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55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</row>
    <row r="595" ht="15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55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</row>
    <row r="596" ht="15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55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</row>
    <row r="597" ht="15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55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</row>
    <row r="598" ht="15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55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</row>
    <row r="599" ht="15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55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</row>
    <row r="600" ht="15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55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</row>
    <row r="601" ht="15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55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</row>
    <row r="602" ht="15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55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</row>
    <row r="603" ht="15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55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</row>
    <row r="604" ht="15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55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</row>
    <row r="605" ht="15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55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</row>
    <row r="606" ht="15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55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</row>
    <row r="607" ht="15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55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</row>
    <row r="608" ht="15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55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</row>
    <row r="609" ht="15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55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</row>
    <row r="610" ht="15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55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</row>
    <row r="611" ht="15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55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</row>
    <row r="612" ht="15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55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</row>
    <row r="613" ht="15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55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</row>
    <row r="614" ht="15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55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</row>
    <row r="615" ht="15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55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</row>
    <row r="616" ht="15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55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</row>
    <row r="617" ht="15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55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</row>
    <row r="618" ht="15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55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</row>
    <row r="619" ht="15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55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</row>
    <row r="620" ht="15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55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</row>
    <row r="621" ht="15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55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</row>
    <row r="622" ht="15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55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</row>
    <row r="623" ht="15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55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</row>
    <row r="624" ht="15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55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</row>
    <row r="625" ht="15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55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</row>
    <row r="626" ht="15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55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</row>
    <row r="627" ht="15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55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</row>
    <row r="628" ht="15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55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</row>
    <row r="629" ht="15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55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</row>
    <row r="630" ht="15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55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</row>
    <row r="631" ht="15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55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</row>
    <row r="632" ht="15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55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</row>
    <row r="633" ht="15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55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</row>
    <row r="634" ht="15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55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</row>
    <row r="635" ht="15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55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</row>
    <row r="636" ht="15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55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</row>
    <row r="637" ht="15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55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</row>
    <row r="638" ht="15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55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</row>
    <row r="639" ht="15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55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</row>
    <row r="640" ht="15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55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</row>
    <row r="641" ht="15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55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</row>
    <row r="642" ht="15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55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</row>
    <row r="643" ht="15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55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</row>
    <row r="644" ht="15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55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</row>
    <row r="645" ht="15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55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</row>
    <row r="646" ht="15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55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</row>
    <row r="647" ht="15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55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</row>
    <row r="648" ht="15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55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</row>
    <row r="649" ht="15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55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</row>
    <row r="650" ht="15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55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</row>
    <row r="651" ht="15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55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</row>
    <row r="652" ht="15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55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</row>
    <row r="653" ht="15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55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</row>
    <row r="654" ht="15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55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</row>
    <row r="655" ht="15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55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</row>
    <row r="656" ht="15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55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</row>
    <row r="657" ht="15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55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</row>
    <row r="658" ht="15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55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</row>
    <row r="659" ht="15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55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</row>
    <row r="660" ht="15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55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</row>
    <row r="661" ht="15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55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</row>
    <row r="662" ht="15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55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</row>
    <row r="663" ht="15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55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</row>
    <row r="664" ht="15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55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</row>
    <row r="665" ht="15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55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</row>
    <row r="666" ht="15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55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</row>
    <row r="667" ht="15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55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</row>
    <row r="668" ht="15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55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</row>
    <row r="669" ht="15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55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</row>
    <row r="670" ht="15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55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</row>
    <row r="671" ht="15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55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</row>
    <row r="672" ht="15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55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</row>
    <row r="673" ht="15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55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</row>
    <row r="674" ht="15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55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</row>
    <row r="675" ht="15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55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</row>
    <row r="676" ht="15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55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</row>
    <row r="677" ht="15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55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</row>
    <row r="678" ht="15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55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</row>
    <row r="679" ht="15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55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</row>
    <row r="680" ht="15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55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</row>
    <row r="681" ht="15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55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</row>
    <row r="682" ht="15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55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</row>
    <row r="683" ht="15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55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</row>
    <row r="684" ht="15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55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</row>
    <row r="685" ht="15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55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</row>
    <row r="686" ht="15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55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</row>
    <row r="687" ht="15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55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</row>
    <row r="688" ht="15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55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</row>
    <row r="689" ht="15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55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</row>
    <row r="690" ht="15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55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</row>
    <row r="691" ht="15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55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</row>
    <row r="692" ht="15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55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</row>
    <row r="693" ht="15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55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</row>
    <row r="694" ht="15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55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</row>
    <row r="695" ht="15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55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</row>
    <row r="696" ht="15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55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</row>
    <row r="697" ht="15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55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</row>
    <row r="698" ht="15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55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</row>
    <row r="699" ht="15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55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</row>
    <row r="700" ht="15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55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</row>
    <row r="701" ht="15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55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</row>
    <row r="702" ht="15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55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</row>
    <row r="703" ht="15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55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</row>
    <row r="704" ht="15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55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</row>
    <row r="705" ht="15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55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</row>
    <row r="706" ht="15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55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</row>
    <row r="707" ht="15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55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</row>
    <row r="708" ht="15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55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</row>
    <row r="709" ht="15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55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</row>
    <row r="710" ht="15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55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</row>
    <row r="711" ht="15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55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</row>
    <row r="712" ht="15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55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</row>
    <row r="713" ht="15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55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</row>
    <row r="714" ht="15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55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</row>
    <row r="715" ht="15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55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</row>
    <row r="716" ht="15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55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</row>
    <row r="717" ht="15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55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</row>
    <row r="718" ht="15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55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</row>
    <row r="719" ht="15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55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</row>
    <row r="720" ht="15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55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</row>
    <row r="721" ht="15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55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</row>
    <row r="722" ht="15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55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</row>
    <row r="723" ht="15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55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</row>
    <row r="724" ht="15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55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</row>
    <row r="725" ht="15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55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</row>
    <row r="726" ht="15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55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</row>
    <row r="727" ht="15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55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</row>
    <row r="728" ht="15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55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</row>
    <row r="729" ht="15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55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</row>
    <row r="730" ht="15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55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</row>
    <row r="731" ht="15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55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</row>
    <row r="732" ht="15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55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</row>
    <row r="733" ht="15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55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</row>
    <row r="734" ht="15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55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</row>
    <row r="735" ht="15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55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</row>
    <row r="736" ht="15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55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</row>
    <row r="737" ht="15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55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</row>
    <row r="738" ht="15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55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</row>
    <row r="739" ht="15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55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</row>
    <row r="740" ht="15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55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</row>
    <row r="741" ht="15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55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</row>
    <row r="742" ht="15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55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</row>
    <row r="743" ht="15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55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</row>
    <row r="744" ht="15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55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</row>
    <row r="745" ht="15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55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</row>
    <row r="746" ht="15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55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</row>
    <row r="747" ht="15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55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</row>
    <row r="748" ht="15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55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</row>
    <row r="749" ht="15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55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</row>
    <row r="750" ht="15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55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</row>
    <row r="751" ht="15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55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</row>
    <row r="752" ht="15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55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</row>
    <row r="753" ht="15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55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</row>
    <row r="754" ht="15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55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</row>
    <row r="755" ht="15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55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</row>
    <row r="756" ht="15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55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</row>
    <row r="757" ht="15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55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</row>
    <row r="758" ht="15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55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</row>
    <row r="759" ht="15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55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</row>
    <row r="760" ht="15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55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</row>
    <row r="761" ht="15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55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</row>
    <row r="762" ht="15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55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</row>
    <row r="763" ht="15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55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</row>
    <row r="764" ht="15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55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</row>
    <row r="765" ht="15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55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</row>
    <row r="766" ht="15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55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</row>
    <row r="767" ht="15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55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</row>
    <row r="768" ht="15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55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</row>
    <row r="769" ht="15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55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</row>
    <row r="770" ht="15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55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</row>
    <row r="771" ht="15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55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</row>
    <row r="772" ht="15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55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</row>
    <row r="773" ht="15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55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</row>
    <row r="774" ht="15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55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</row>
    <row r="775" ht="15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55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</row>
    <row r="776" ht="15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55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</row>
    <row r="777" ht="15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55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</row>
    <row r="778" ht="15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55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</row>
    <row r="779" ht="15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55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</row>
    <row r="780" ht="15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55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</row>
    <row r="781" ht="15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55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</row>
    <row r="782" ht="15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55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</row>
    <row r="783" ht="15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55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</row>
    <row r="784" ht="15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55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</row>
    <row r="785" ht="15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55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</row>
    <row r="786" ht="15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55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</row>
    <row r="787" ht="15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55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</row>
    <row r="788" ht="15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55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</row>
    <row r="789" ht="15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55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</row>
    <row r="790" ht="15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55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</row>
    <row r="791" ht="15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55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</row>
    <row r="792" ht="15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55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</row>
    <row r="793" ht="15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55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</row>
    <row r="794" ht="15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55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</row>
    <row r="795" ht="15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55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</row>
    <row r="796" ht="15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55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</row>
    <row r="797" ht="15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55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</row>
    <row r="798" ht="15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55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</row>
    <row r="799" ht="15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55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</row>
    <row r="800" ht="15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55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</row>
    <row r="801" ht="15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55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</row>
    <row r="802" ht="15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55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</row>
    <row r="803" ht="15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55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</row>
    <row r="804" ht="15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55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</row>
    <row r="805" ht="15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55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</row>
    <row r="806" ht="15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55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</row>
    <row r="807" ht="15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55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</row>
    <row r="808" ht="15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55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</row>
    <row r="809" ht="15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55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</row>
    <row r="810" ht="15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55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</row>
    <row r="811" ht="15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55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</row>
    <row r="812" ht="15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55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</row>
    <row r="813" ht="15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55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</row>
    <row r="814" ht="15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55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</row>
    <row r="815" ht="15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55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</row>
    <row r="816" ht="15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55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</row>
    <row r="817" ht="15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55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</row>
    <row r="818" ht="15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55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</row>
    <row r="819" ht="15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55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</row>
    <row r="820" ht="15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55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</row>
    <row r="821" ht="15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55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</row>
    <row r="822" ht="15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55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</row>
    <row r="823" ht="15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55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</row>
    <row r="824" ht="15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55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</row>
    <row r="825" ht="15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55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</row>
    <row r="826" ht="15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55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</row>
    <row r="827" ht="15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55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</row>
    <row r="828" ht="15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55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</row>
    <row r="829" ht="15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55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</row>
    <row r="830" ht="15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55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</row>
    <row r="831" ht="15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55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</row>
    <row r="832" ht="15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55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</row>
    <row r="833" ht="15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55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</row>
    <row r="834" ht="15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55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</row>
    <row r="835" ht="15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55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</row>
    <row r="836" ht="15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55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</row>
    <row r="837" ht="15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55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</row>
    <row r="838" ht="15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55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</row>
    <row r="839" ht="15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55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</row>
    <row r="840" ht="15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55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</row>
    <row r="841" ht="15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55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</row>
    <row r="842" ht="15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55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</row>
    <row r="843" ht="15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55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</row>
    <row r="844" ht="15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55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</row>
    <row r="845" ht="15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55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  <c r="AG845" s="118"/>
    </row>
    <row r="846" ht="15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55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  <c r="AG846" s="118"/>
    </row>
    <row r="847" ht="15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55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  <c r="AG847" s="118"/>
    </row>
    <row r="848" ht="15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55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  <c r="AG848" s="118"/>
    </row>
    <row r="849" ht="15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55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  <c r="AG849" s="118"/>
    </row>
    <row r="850" ht="15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55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  <c r="AG850" s="118"/>
    </row>
    <row r="851" ht="15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55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  <c r="AG851" s="118"/>
    </row>
    <row r="852" ht="15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55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  <c r="AG852" s="118"/>
    </row>
    <row r="853" ht="15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55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  <c r="AG853" s="118"/>
    </row>
    <row r="854" ht="15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55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  <c r="AG854" s="118"/>
    </row>
    <row r="855" ht="15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55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  <c r="AG855" s="118"/>
    </row>
    <row r="856" ht="15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55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</row>
    <row r="857" ht="15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55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</row>
    <row r="858" ht="15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55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</row>
    <row r="859" ht="15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55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</row>
    <row r="860" ht="15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55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</row>
    <row r="861" ht="15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55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</row>
    <row r="862" ht="15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55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</row>
    <row r="863" ht="15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55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</row>
    <row r="864" ht="15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55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</row>
    <row r="865" ht="15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55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</row>
    <row r="866" ht="15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55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</row>
    <row r="867" ht="15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55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</row>
    <row r="868" ht="15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55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</row>
    <row r="869" ht="15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55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</row>
    <row r="870" ht="15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55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</row>
    <row r="871" ht="15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55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</row>
    <row r="872" ht="15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55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</row>
    <row r="873" ht="15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55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</row>
    <row r="874" ht="15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55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</row>
    <row r="875" ht="15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55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</row>
    <row r="876" ht="15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55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</row>
    <row r="877" ht="15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55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  <c r="AG877" s="118"/>
    </row>
    <row r="878" ht="15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55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  <c r="AG878" s="118"/>
    </row>
    <row r="879" ht="15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55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  <c r="AG879" s="118"/>
    </row>
    <row r="880" ht="15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55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  <c r="AG880" s="118"/>
    </row>
    <row r="881" ht="15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55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  <c r="AG881" s="118"/>
    </row>
    <row r="882" ht="15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55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  <c r="AG882" s="118"/>
    </row>
    <row r="883" ht="15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55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  <c r="AG883" s="118"/>
    </row>
    <row r="884" ht="15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55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  <c r="AG884" s="118"/>
    </row>
    <row r="885" ht="15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55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  <c r="AG885" s="118"/>
    </row>
    <row r="886" ht="15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55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  <c r="AG886" s="118"/>
    </row>
    <row r="887" ht="15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55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</row>
    <row r="888" ht="15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55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  <c r="AG888" s="118"/>
    </row>
    <row r="889" ht="15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55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  <c r="AG889" s="118"/>
    </row>
    <row r="890" ht="15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55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  <c r="AG890" s="118"/>
    </row>
    <row r="891" ht="15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55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  <c r="AG891" s="118"/>
    </row>
    <row r="892" ht="15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55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  <c r="AG892" s="118"/>
    </row>
    <row r="893" ht="15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55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  <c r="AG893" s="118"/>
    </row>
    <row r="894" ht="15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55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  <c r="AG894" s="118"/>
    </row>
    <row r="895" ht="15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55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  <c r="AG895" s="118"/>
    </row>
    <row r="896" ht="15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55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  <c r="AG896" s="118"/>
    </row>
    <row r="897" ht="15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55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  <c r="AG897" s="118"/>
    </row>
    <row r="898" ht="15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55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  <c r="AG898" s="118"/>
    </row>
    <row r="899" ht="15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55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  <c r="AG899" s="118"/>
    </row>
    <row r="900" ht="15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55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  <c r="AG900" s="118"/>
    </row>
    <row r="901" ht="15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55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  <c r="AG901" s="118"/>
    </row>
    <row r="902" ht="15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55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  <c r="AG902" s="118"/>
    </row>
    <row r="903" ht="15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55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  <c r="AG903" s="118"/>
    </row>
    <row r="904" ht="15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55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  <c r="AG904" s="118"/>
    </row>
    <row r="905" ht="15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55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  <c r="AG905" s="118"/>
    </row>
    <row r="906" ht="15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55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  <c r="AG906" s="118"/>
    </row>
    <row r="907" ht="15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55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  <c r="AG907" s="118"/>
    </row>
    <row r="908" ht="15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55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  <c r="AG908" s="118"/>
    </row>
    <row r="909" ht="15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55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  <c r="AG909" s="118"/>
    </row>
    <row r="910" ht="15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55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  <c r="AG910" s="118"/>
    </row>
    <row r="911" ht="15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55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  <c r="AG911" s="118"/>
    </row>
    <row r="912" ht="15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55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  <c r="AG912" s="118"/>
    </row>
    <row r="913" ht="15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55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  <c r="AG913" s="118"/>
    </row>
    <row r="914" ht="15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55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  <c r="AG914" s="118"/>
    </row>
    <row r="915" ht="15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55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  <c r="AG915" s="118"/>
    </row>
    <row r="916" ht="15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55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  <c r="AG916" s="118"/>
    </row>
    <row r="917" ht="15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55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  <c r="AG917" s="118"/>
    </row>
    <row r="918" ht="15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55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  <c r="AG918" s="118"/>
    </row>
    <row r="919" ht="15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55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  <c r="AG919" s="118"/>
    </row>
    <row r="920" ht="15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55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  <c r="AG920" s="118"/>
    </row>
    <row r="921" ht="15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55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  <c r="AG921" s="118"/>
    </row>
    <row r="922" ht="15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55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  <c r="AG922" s="118"/>
    </row>
    <row r="923" ht="15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55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  <c r="AG923" s="118"/>
    </row>
    <row r="924" ht="15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55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  <c r="AG924" s="118"/>
    </row>
    <row r="925" ht="15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55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  <c r="AG925" s="118"/>
    </row>
    <row r="926" ht="15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55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  <c r="AG926" s="118"/>
    </row>
    <row r="927" ht="15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55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  <c r="AG927" s="118"/>
    </row>
    <row r="928" ht="15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55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  <c r="AF928" s="118"/>
      <c r="AG928" s="118"/>
    </row>
    <row r="929" ht="15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55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  <c r="AF929" s="118"/>
      <c r="AG929" s="118"/>
    </row>
    <row r="930" ht="15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55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  <c r="AF930" s="118"/>
      <c r="AG930" s="118"/>
    </row>
    <row r="931" ht="15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55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  <c r="AF931" s="118"/>
      <c r="AG931" s="118"/>
    </row>
    <row r="932" ht="15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55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  <c r="AF932" s="118"/>
      <c r="AG932" s="118"/>
    </row>
    <row r="933" ht="15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55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  <c r="AF933" s="118"/>
      <c r="AG933" s="118"/>
    </row>
    <row r="934" ht="15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55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  <c r="AF934" s="118"/>
      <c r="AG934" s="118"/>
    </row>
    <row r="935" ht="15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55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  <c r="AF935" s="118"/>
      <c r="AG935" s="118"/>
    </row>
    <row r="936" ht="15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55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  <c r="AF936" s="118"/>
      <c r="AG936" s="118"/>
    </row>
    <row r="937" ht="15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55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  <c r="AF937" s="118"/>
      <c r="AG937" s="118"/>
    </row>
    <row r="938" ht="15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55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  <c r="AF938" s="118"/>
      <c r="AG938" s="118"/>
    </row>
    <row r="939" ht="15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55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  <c r="AF939" s="118"/>
      <c r="AG939" s="118"/>
    </row>
    <row r="940" ht="15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55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  <c r="AF940" s="118"/>
      <c r="AG940" s="118"/>
    </row>
    <row r="941" ht="15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55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  <c r="AF941" s="118"/>
      <c r="AG941" s="118"/>
    </row>
    <row r="942" ht="15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55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  <c r="AF942" s="118"/>
      <c r="AG942" s="118"/>
    </row>
    <row r="943" ht="15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55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  <c r="AF943" s="118"/>
      <c r="AG943" s="118"/>
    </row>
    <row r="944" ht="15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55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  <c r="AG944" s="118"/>
    </row>
    <row r="945" ht="15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55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  <c r="AG945" s="118"/>
    </row>
    <row r="946" ht="15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55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  <c r="AG946" s="118"/>
    </row>
    <row r="947" ht="15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55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  <c r="AG947" s="118"/>
    </row>
    <row r="948" ht="15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55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  <c r="AG948" s="118"/>
    </row>
    <row r="949" ht="15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55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  <c r="AG949" s="118"/>
    </row>
    <row r="950" ht="15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55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  <c r="AG950" s="118"/>
    </row>
    <row r="951" ht="15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55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  <c r="AG951" s="118"/>
    </row>
    <row r="952" ht="15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55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  <c r="AG952" s="118"/>
    </row>
    <row r="953" ht="15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55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  <c r="AG953" s="118"/>
    </row>
    <row r="954" ht="15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55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  <c r="AG954" s="118"/>
    </row>
    <row r="955" ht="15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55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  <c r="AG955" s="118"/>
    </row>
    <row r="956" ht="15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55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  <c r="AG956" s="118"/>
    </row>
    <row r="957" ht="15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55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  <c r="AG957" s="118"/>
    </row>
    <row r="958" ht="15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55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  <c r="AG958" s="118"/>
    </row>
    <row r="959" ht="15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55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  <c r="AG959" s="118"/>
    </row>
    <row r="960" ht="15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55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  <c r="AG960" s="118"/>
    </row>
    <row r="961" ht="15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55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  <c r="AG961" s="118"/>
    </row>
    <row r="962" ht="15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55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  <c r="AG962" s="118"/>
    </row>
    <row r="963" ht="15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55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  <c r="AG963" s="118"/>
    </row>
    <row r="964" ht="15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55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  <c r="AG964" s="118"/>
    </row>
    <row r="965" ht="15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55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  <c r="AG965" s="118"/>
    </row>
    <row r="966" ht="15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55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  <c r="AG966" s="118"/>
    </row>
    <row r="967" ht="15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55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  <c r="AG967" s="118"/>
    </row>
    <row r="968" ht="15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55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  <c r="AG968" s="118"/>
    </row>
    <row r="969" ht="15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55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  <c r="AG969" s="118"/>
    </row>
    <row r="970" ht="15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55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  <c r="AG970" s="118"/>
    </row>
    <row r="971" ht="15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55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  <c r="AG971" s="118"/>
    </row>
    <row r="972" ht="15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55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  <c r="AG972" s="118"/>
    </row>
    <row r="973" ht="15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55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  <c r="AG973" s="118"/>
    </row>
    <row r="974" ht="15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55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  <c r="AG974" s="118"/>
    </row>
    <row r="975" ht="15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55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  <c r="AG975" s="118"/>
    </row>
    <row r="976" ht="15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55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  <c r="AG976" s="118"/>
    </row>
    <row r="977" ht="15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55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  <c r="AG977" s="118"/>
    </row>
    <row r="978" ht="15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55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  <c r="AG978" s="118"/>
    </row>
    <row r="979" ht="15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55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  <c r="AG979" s="118"/>
    </row>
    <row r="980" ht="15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55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  <c r="AG980" s="118"/>
    </row>
    <row r="981" ht="15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55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  <c r="AG981" s="118"/>
    </row>
    <row r="982" ht="15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55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  <c r="AG982" s="118"/>
    </row>
    <row r="983" ht="15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55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  <c r="AG983" s="118"/>
    </row>
    <row r="984" ht="15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55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  <c r="AG984" s="118"/>
    </row>
    <row r="985" ht="15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55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  <c r="AG985" s="118"/>
    </row>
    <row r="986" ht="15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55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  <c r="AG986" s="118"/>
    </row>
    <row r="987" ht="15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55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  <c r="AG987" s="118"/>
    </row>
    <row r="988" ht="15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55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  <c r="AG988" s="118"/>
    </row>
    <row r="989" ht="15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55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  <c r="AF989" s="118"/>
      <c r="AG989" s="118"/>
    </row>
    <row r="990" ht="15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55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  <c r="AG990" s="118"/>
    </row>
    <row r="991" ht="15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55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  <c r="AF991" s="118"/>
      <c r="AG991" s="118"/>
    </row>
    <row r="992" ht="15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55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  <c r="AF992" s="118"/>
      <c r="AG992" s="118"/>
    </row>
    <row r="993" ht="15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55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  <c r="AF993" s="118"/>
      <c r="AG993" s="118"/>
    </row>
    <row r="994" ht="15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55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  <c r="AF994" s="118"/>
      <c r="AG994" s="118"/>
    </row>
    <row r="995" ht="15.7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55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  <c r="AF995" s="118"/>
      <c r="AG995" s="118"/>
    </row>
    <row r="996" ht="15.7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55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  <c r="AF996" s="118"/>
      <c r="AG996" s="118"/>
    </row>
    <row r="997" ht="15.7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55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  <c r="AF997" s="118"/>
      <c r="AG997" s="118"/>
    </row>
    <row r="998" ht="15.7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55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  <c r="AF998" s="118"/>
      <c r="AG998" s="118"/>
    </row>
    <row r="999" ht="15.75" customHeight="1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55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  <c r="AE999" s="118"/>
      <c r="AF999" s="118"/>
      <c r="AG999" s="118"/>
    </row>
    <row r="1000" ht="15.75" customHeight="1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55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18"/>
      <c r="AC1000" s="118"/>
      <c r="AD1000" s="118"/>
      <c r="AE1000" s="118"/>
      <c r="AF1000" s="118"/>
      <c r="AG1000" s="118"/>
    </row>
    <row r="1001" ht="15.75" customHeight="1">
      <c r="A1001" s="118"/>
      <c r="B1001" s="118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55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  <c r="AA1001" s="118"/>
      <c r="AB1001" s="118"/>
      <c r="AC1001" s="118"/>
      <c r="AD1001" s="118"/>
      <c r="AE1001" s="118"/>
      <c r="AF1001" s="118"/>
      <c r="AG1001" s="118"/>
    </row>
    <row r="1002" ht="15.75" customHeight="1">
      <c r="A1002" s="118"/>
      <c r="B1002" s="118"/>
      <c r="C1002" s="118"/>
      <c r="D1002" s="118"/>
      <c r="E1002" s="118"/>
      <c r="F1002" s="118"/>
      <c r="G1002" s="118"/>
      <c r="H1002" s="118"/>
      <c r="I1002" s="118"/>
      <c r="J1002" s="118"/>
      <c r="K1002" s="118"/>
      <c r="L1002" s="118"/>
      <c r="M1002" s="118"/>
      <c r="N1002" s="155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  <c r="AA1002" s="118"/>
      <c r="AB1002" s="118"/>
      <c r="AC1002" s="118"/>
      <c r="AD1002" s="118"/>
      <c r="AE1002" s="118"/>
      <c r="AF1002" s="118"/>
      <c r="AG1002" s="118"/>
    </row>
    <row r="1003" ht="15.75" customHeight="1">
      <c r="A1003" s="118"/>
      <c r="B1003" s="118"/>
      <c r="C1003" s="118"/>
      <c r="D1003" s="118"/>
      <c r="E1003" s="118"/>
      <c r="F1003" s="118"/>
      <c r="G1003" s="118"/>
      <c r="H1003" s="118"/>
      <c r="I1003" s="118"/>
      <c r="J1003" s="118"/>
      <c r="K1003" s="118"/>
      <c r="L1003" s="118"/>
      <c r="M1003" s="118"/>
      <c r="N1003" s="155"/>
      <c r="O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  <c r="Y1003" s="118"/>
      <c r="Z1003" s="118"/>
      <c r="AA1003" s="118"/>
      <c r="AB1003" s="118"/>
      <c r="AC1003" s="118"/>
      <c r="AD1003" s="118"/>
      <c r="AE1003" s="118"/>
      <c r="AF1003" s="118"/>
      <c r="AG1003" s="118"/>
    </row>
    <row r="1004" ht="15.75" customHeight="1">
      <c r="A1004" s="118"/>
      <c r="B1004" s="118"/>
      <c r="C1004" s="118"/>
      <c r="D1004" s="118"/>
      <c r="E1004" s="118"/>
      <c r="F1004" s="118"/>
      <c r="G1004" s="118"/>
      <c r="H1004" s="118"/>
      <c r="I1004" s="118"/>
      <c r="J1004" s="118"/>
      <c r="K1004" s="118"/>
      <c r="L1004" s="118"/>
      <c r="M1004" s="118"/>
      <c r="N1004" s="155"/>
      <c r="O1004" s="118"/>
      <c r="P1004" s="118"/>
      <c r="Q1004" s="118"/>
      <c r="R1004" s="118"/>
      <c r="S1004" s="118"/>
      <c r="T1004" s="118"/>
      <c r="U1004" s="118"/>
      <c r="V1004" s="118"/>
      <c r="W1004" s="118"/>
      <c r="X1004" s="118"/>
      <c r="Y1004" s="118"/>
      <c r="Z1004" s="118"/>
      <c r="AA1004" s="118"/>
      <c r="AB1004" s="118"/>
      <c r="AC1004" s="118"/>
      <c r="AD1004" s="118"/>
      <c r="AE1004" s="118"/>
      <c r="AF1004" s="118"/>
      <c r="AG1004" s="118"/>
    </row>
    <row r="1005" ht="15.75" customHeight="1">
      <c r="A1005" s="118"/>
      <c r="B1005" s="118"/>
      <c r="C1005" s="118"/>
      <c r="D1005" s="118"/>
      <c r="E1005" s="118"/>
      <c r="F1005" s="118"/>
      <c r="G1005" s="118"/>
      <c r="H1005" s="118"/>
      <c r="I1005" s="118"/>
      <c r="J1005" s="118"/>
      <c r="K1005" s="118"/>
      <c r="L1005" s="118"/>
      <c r="M1005" s="118"/>
      <c r="N1005" s="118"/>
      <c r="O1005" s="118"/>
      <c r="P1005" s="118"/>
      <c r="Q1005" s="118"/>
      <c r="R1005" s="118"/>
      <c r="S1005" s="118"/>
      <c r="T1005" s="118"/>
      <c r="U1005" s="118"/>
      <c r="V1005" s="118"/>
      <c r="W1005" s="118"/>
      <c r="X1005" s="118"/>
      <c r="Y1005" s="118"/>
      <c r="Z1005" s="118"/>
      <c r="AA1005" s="118"/>
      <c r="AB1005" s="118"/>
      <c r="AC1005" s="118"/>
      <c r="AD1005" s="118"/>
      <c r="AE1005" s="118"/>
      <c r="AF1005" s="118"/>
      <c r="AG1005" s="118"/>
    </row>
  </sheetData>
  <mergeCells count="25">
    <mergeCell ref="B1:J1"/>
    <mergeCell ref="K1:M1"/>
    <mergeCell ref="Q2:R2"/>
    <mergeCell ref="Q3:R3"/>
    <mergeCell ref="Q4:R4"/>
    <mergeCell ref="Q5:R5"/>
    <mergeCell ref="Q6:R6"/>
    <mergeCell ref="Q7:R7"/>
    <mergeCell ref="Q8:R8"/>
    <mergeCell ref="Q11:R11"/>
    <mergeCell ref="Q12:R12"/>
    <mergeCell ref="Q13:R13"/>
    <mergeCell ref="Q14:R14"/>
    <mergeCell ref="Q15:R15"/>
    <mergeCell ref="Q26:R26"/>
    <mergeCell ref="Q27:R27"/>
    <mergeCell ref="Q28:R28"/>
    <mergeCell ref="P32:R32"/>
    <mergeCell ref="Q16:R16"/>
    <mergeCell ref="Q17:R17"/>
    <mergeCell ref="Q18:R18"/>
    <mergeCell ref="Q19:R19"/>
    <mergeCell ref="P21:R21"/>
    <mergeCell ref="Q22:R22"/>
    <mergeCell ref="Q23:R2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1.57"/>
    <col customWidth="1" min="2" max="2" width="14.71"/>
    <col customWidth="1" min="3" max="3" width="18.86"/>
    <col customWidth="1" min="4" max="4" width="21.57"/>
    <col customWidth="1" min="5" max="5" width="13.29"/>
    <col customWidth="1" min="6" max="6" width="7.43"/>
    <col customWidth="1" min="7" max="7" width="13.29"/>
    <col customWidth="1" min="8" max="8" width="13.43"/>
    <col customWidth="1" min="9" max="9" width="5.86"/>
    <col customWidth="1" min="10" max="10" width="14.43"/>
    <col customWidth="1" min="11" max="11" width="7.86"/>
    <col customWidth="1" min="12" max="12" width="6.86"/>
    <col customWidth="1" min="13" max="13" width="8.43"/>
    <col customWidth="1" min="14" max="14" width="8.71"/>
    <col customWidth="1" min="15" max="15" width="7.57"/>
    <col customWidth="1" min="16" max="17" width="15.86"/>
    <col customWidth="1" min="18" max="18" width="8.86"/>
    <col customWidth="1" min="19" max="19" width="11.57"/>
    <col customWidth="1" min="20" max="33" width="8.86"/>
  </cols>
  <sheetData>
    <row r="1" ht="40.5" customHeight="1">
      <c r="A1" s="1"/>
      <c r="B1" s="2" t="s">
        <v>708</v>
      </c>
      <c r="C1" s="3"/>
      <c r="D1" s="3"/>
      <c r="E1" s="3"/>
      <c r="F1" s="3"/>
      <c r="G1" s="3"/>
      <c r="H1" s="3"/>
      <c r="I1" s="3"/>
      <c r="J1" s="4"/>
      <c r="K1" s="5" t="s">
        <v>1</v>
      </c>
      <c r="L1" s="3"/>
      <c r="M1" s="4"/>
      <c r="N1" s="311"/>
      <c r="O1" s="118"/>
      <c r="P1" s="369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</row>
    <row r="2" ht="38.25" customHeight="1">
      <c r="A2" s="8" t="s">
        <v>2</v>
      </c>
      <c r="B2" s="11" t="s">
        <v>3</v>
      </c>
      <c r="C2" s="12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3" t="s">
        <v>12</v>
      </c>
      <c r="L2" s="13" t="s">
        <v>13</v>
      </c>
      <c r="M2" s="13" t="s">
        <v>14</v>
      </c>
      <c r="N2" s="14" t="s">
        <v>15</v>
      </c>
      <c r="O2" s="312" t="s">
        <v>16</v>
      </c>
      <c r="P2" s="243"/>
      <c r="Q2" s="123" t="s">
        <v>17</v>
      </c>
      <c r="R2" s="124" t="s">
        <v>18</v>
      </c>
      <c r="S2" s="53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</row>
    <row r="3" outlineLevel="1">
      <c r="A3" s="19" t="b">
        <v>0</v>
      </c>
      <c r="B3" s="125" t="s">
        <v>709</v>
      </c>
      <c r="C3" s="126" t="s">
        <v>20</v>
      </c>
      <c r="D3" s="125" t="s">
        <v>21</v>
      </c>
      <c r="E3" s="125">
        <v>1.0</v>
      </c>
      <c r="F3" s="125">
        <v>1.0</v>
      </c>
      <c r="G3" s="125" t="s">
        <v>34</v>
      </c>
      <c r="H3" s="125" t="s">
        <v>23</v>
      </c>
      <c r="I3" s="125" t="s">
        <v>23</v>
      </c>
      <c r="J3" s="24" t="s">
        <v>710</v>
      </c>
      <c r="K3" s="19" t="b">
        <v>1</v>
      </c>
      <c r="L3" s="19" t="b">
        <v>0</v>
      </c>
      <c r="M3" s="19" t="b">
        <v>1</v>
      </c>
      <c r="N3" s="19" t="b">
        <v>1</v>
      </c>
      <c r="O3" s="19" t="b">
        <v>0</v>
      </c>
      <c r="P3" s="125"/>
      <c r="Q3" s="125" t="s">
        <v>27</v>
      </c>
      <c r="R3" s="127" t="s">
        <v>28</v>
      </c>
      <c r="S3" s="33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</row>
    <row r="4" outlineLevel="1">
      <c r="A4" s="19" t="b">
        <v>0</v>
      </c>
      <c r="B4" s="34" t="s">
        <v>389</v>
      </c>
      <c r="C4" s="35" t="s">
        <v>26</v>
      </c>
      <c r="D4" s="34" t="s">
        <v>21</v>
      </c>
      <c r="E4" s="35">
        <v>32.0</v>
      </c>
      <c r="F4" s="34">
        <v>2.0</v>
      </c>
      <c r="G4" s="34" t="s">
        <v>37</v>
      </c>
      <c r="H4" s="34" t="s">
        <v>31</v>
      </c>
      <c r="I4" s="34" t="s">
        <v>31</v>
      </c>
      <c r="J4" s="40" t="s">
        <v>711</v>
      </c>
      <c r="K4" s="19" t="b">
        <v>1</v>
      </c>
      <c r="L4" s="19" t="b">
        <v>1</v>
      </c>
      <c r="M4" s="19" t="b">
        <v>1</v>
      </c>
      <c r="N4" s="19" t="b">
        <v>1</v>
      </c>
      <c r="O4" s="19" t="b">
        <v>1</v>
      </c>
      <c r="P4" s="34"/>
      <c r="Q4" s="34" t="s">
        <v>128</v>
      </c>
      <c r="R4" s="129" t="s">
        <v>141</v>
      </c>
      <c r="S4" s="39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</row>
    <row r="5" outlineLevel="1">
      <c r="A5" s="19" t="b">
        <v>0</v>
      </c>
      <c r="B5" s="34" t="s">
        <v>712</v>
      </c>
      <c r="C5" s="35" t="s">
        <v>20</v>
      </c>
      <c r="D5" s="34" t="s">
        <v>21</v>
      </c>
      <c r="E5" s="34">
        <v>2.0</v>
      </c>
      <c r="F5" s="34">
        <v>1.0</v>
      </c>
      <c r="G5" s="34" t="s">
        <v>223</v>
      </c>
      <c r="H5" s="34" t="s">
        <v>23</v>
      </c>
      <c r="I5" s="34" t="s">
        <v>23</v>
      </c>
      <c r="J5" s="131">
        <v>45944.0</v>
      </c>
      <c r="K5" s="19" t="b">
        <v>1</v>
      </c>
      <c r="L5" s="19" t="b">
        <v>1</v>
      </c>
      <c r="M5" s="19" t="b">
        <v>1</v>
      </c>
      <c r="N5" s="19" t="b">
        <v>1</v>
      </c>
      <c r="O5" s="19" t="b">
        <v>1</v>
      </c>
      <c r="P5" s="34"/>
      <c r="Q5" s="34" t="s">
        <v>34</v>
      </c>
      <c r="R5" s="129" t="s">
        <v>35</v>
      </c>
      <c r="S5" s="39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</row>
    <row r="6" outlineLevel="1">
      <c r="A6" s="19" t="b">
        <v>0</v>
      </c>
      <c r="B6" s="34" t="s">
        <v>713</v>
      </c>
      <c r="C6" s="35" t="s">
        <v>20</v>
      </c>
      <c r="D6" s="34" t="s">
        <v>21</v>
      </c>
      <c r="E6" s="34">
        <v>3.5</v>
      </c>
      <c r="F6" s="34">
        <v>1.0</v>
      </c>
      <c r="G6" s="34" t="s">
        <v>140</v>
      </c>
      <c r="H6" s="34" t="s">
        <v>23</v>
      </c>
      <c r="I6" s="34" t="s">
        <v>23</v>
      </c>
      <c r="J6" s="40" t="s">
        <v>714</v>
      </c>
      <c r="K6" s="19" t="b">
        <v>1</v>
      </c>
      <c r="L6" s="19" t="b">
        <v>1</v>
      </c>
      <c r="M6" s="19" t="b">
        <v>1</v>
      </c>
      <c r="N6" s="19" t="b">
        <v>1</v>
      </c>
      <c r="O6" s="19" t="b">
        <v>1</v>
      </c>
      <c r="P6" s="34"/>
      <c r="Q6" s="34" t="s">
        <v>39</v>
      </c>
      <c r="R6" s="129" t="s">
        <v>40</v>
      </c>
      <c r="S6" s="39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</row>
    <row r="7" outlineLevel="1">
      <c r="A7" s="19" t="b">
        <v>0</v>
      </c>
      <c r="B7" s="34" t="s">
        <v>715</v>
      </c>
      <c r="C7" s="35" t="s">
        <v>20</v>
      </c>
      <c r="D7" s="34" t="s">
        <v>21</v>
      </c>
      <c r="E7" s="34">
        <v>1.0</v>
      </c>
      <c r="F7" s="34">
        <v>1.0</v>
      </c>
      <c r="G7" s="34" t="s">
        <v>22</v>
      </c>
      <c r="H7" s="34" t="s">
        <v>23</v>
      </c>
      <c r="I7" s="34" t="s">
        <v>23</v>
      </c>
      <c r="J7" s="149">
        <v>45917.0</v>
      </c>
      <c r="K7" s="19" t="b">
        <v>1</v>
      </c>
      <c r="L7" s="19" t="b">
        <v>0</v>
      </c>
      <c r="M7" s="19" t="b">
        <v>1</v>
      </c>
      <c r="N7" s="19" t="b">
        <v>1</v>
      </c>
      <c r="O7" s="19" t="b">
        <v>0</v>
      </c>
      <c r="P7" s="34"/>
      <c r="Q7" s="34" t="s">
        <v>42</v>
      </c>
      <c r="R7" s="129" t="s">
        <v>43</v>
      </c>
      <c r="S7" s="39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</row>
    <row r="8" outlineLevel="1">
      <c r="A8" s="19" t="b">
        <v>0</v>
      </c>
      <c r="B8" s="34" t="s">
        <v>398</v>
      </c>
      <c r="C8" s="35" t="s">
        <v>20</v>
      </c>
      <c r="D8" s="34" t="s">
        <v>716</v>
      </c>
      <c r="E8" s="34">
        <v>8.0</v>
      </c>
      <c r="F8" s="34">
        <v>2.0</v>
      </c>
      <c r="G8" s="34" t="s">
        <v>45</v>
      </c>
      <c r="H8" s="34" t="s">
        <v>31</v>
      </c>
      <c r="I8" s="34" t="s">
        <v>31</v>
      </c>
      <c r="J8" s="40" t="s">
        <v>400</v>
      </c>
      <c r="K8" s="19" t="b">
        <v>1</v>
      </c>
      <c r="L8" s="19" t="b">
        <v>0</v>
      </c>
      <c r="M8" s="19" t="b">
        <v>0</v>
      </c>
      <c r="N8" s="19" t="b">
        <v>0</v>
      </c>
      <c r="O8" s="59" t="b">
        <v>0</v>
      </c>
      <c r="P8" s="50" t="s">
        <v>717</v>
      </c>
      <c r="Q8" s="50" t="s">
        <v>47</v>
      </c>
      <c r="R8" s="370" t="s">
        <v>48</v>
      </c>
      <c r="S8" s="371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</row>
    <row r="9" ht="30.75" customHeight="1" outlineLevel="1">
      <c r="A9" s="19" t="b">
        <v>0</v>
      </c>
      <c r="B9" s="34" t="s">
        <v>718</v>
      </c>
      <c r="C9" s="35" t="s">
        <v>20</v>
      </c>
      <c r="D9" s="34" t="s">
        <v>21</v>
      </c>
      <c r="E9" s="34">
        <v>2.5</v>
      </c>
      <c r="F9" s="34">
        <v>2.0</v>
      </c>
      <c r="G9" s="34" t="s">
        <v>113</v>
      </c>
      <c r="H9" s="34" t="s">
        <v>23</v>
      </c>
      <c r="I9" s="35" t="s">
        <v>31</v>
      </c>
      <c r="J9" s="48" t="s">
        <v>46</v>
      </c>
      <c r="K9" s="19" t="b">
        <v>0</v>
      </c>
      <c r="L9" s="19" t="b">
        <v>0</v>
      </c>
      <c r="M9" s="19" t="b">
        <v>0</v>
      </c>
      <c r="N9" s="19" t="b">
        <v>0</v>
      </c>
      <c r="O9" s="19" t="b">
        <v>0</v>
      </c>
      <c r="P9" s="132"/>
      <c r="Q9" s="16" t="s">
        <v>154</v>
      </c>
      <c r="R9" s="17" t="s">
        <v>52</v>
      </c>
      <c r="S9" s="53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</row>
    <row r="10" ht="29.25" customHeight="1" outlineLevel="1">
      <c r="A10" s="19" t="b">
        <v>0</v>
      </c>
      <c r="B10" s="34" t="s">
        <v>719</v>
      </c>
      <c r="C10" s="35" t="s">
        <v>26</v>
      </c>
      <c r="D10" s="34" t="s">
        <v>21</v>
      </c>
      <c r="E10" s="35">
        <v>8.0</v>
      </c>
      <c r="F10" s="35">
        <v>2.0</v>
      </c>
      <c r="G10" s="34" t="s">
        <v>70</v>
      </c>
      <c r="H10" s="34" t="s">
        <v>31</v>
      </c>
      <c r="I10" s="34" t="s">
        <v>31</v>
      </c>
      <c r="J10" s="40" t="s">
        <v>720</v>
      </c>
      <c r="K10" s="19" t="b">
        <v>1</v>
      </c>
      <c r="L10" s="19" t="b">
        <v>1</v>
      </c>
      <c r="M10" s="19" t="b">
        <v>1</v>
      </c>
      <c r="N10" s="19" t="b">
        <v>1</v>
      </c>
      <c r="O10" s="19" t="b">
        <v>1</v>
      </c>
      <c r="P10" s="135"/>
      <c r="Q10" s="60" t="s">
        <v>57</v>
      </c>
      <c r="R10" s="61" t="s">
        <v>58</v>
      </c>
      <c r="S10" s="33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</row>
    <row r="11" ht="30.75" customHeight="1" outlineLevel="1">
      <c r="A11" s="19" t="b">
        <v>0</v>
      </c>
      <c r="B11" s="34" t="s">
        <v>721</v>
      </c>
      <c r="C11" s="35" t="s">
        <v>20</v>
      </c>
      <c r="D11" s="34" t="s">
        <v>21</v>
      </c>
      <c r="E11" s="34">
        <v>2.5</v>
      </c>
      <c r="F11" s="34">
        <v>1.0</v>
      </c>
      <c r="G11" s="34" t="s">
        <v>264</v>
      </c>
      <c r="H11" s="34" t="s">
        <v>23</v>
      </c>
      <c r="I11" s="34" t="s">
        <v>23</v>
      </c>
      <c r="J11" s="149">
        <v>45909.0</v>
      </c>
      <c r="K11" s="19" t="b">
        <v>1</v>
      </c>
      <c r="L11" s="19" t="b">
        <v>1</v>
      </c>
      <c r="M11" s="19" t="b">
        <v>1</v>
      </c>
      <c r="N11" s="19" t="b">
        <v>1</v>
      </c>
      <c r="O11" s="19" t="b">
        <v>1</v>
      </c>
      <c r="P11" s="135"/>
      <c r="Q11" s="135" t="s">
        <v>334</v>
      </c>
      <c r="R11" s="75" t="s">
        <v>335</v>
      </c>
      <c r="S11" s="39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</row>
    <row r="12" ht="30.75" customHeight="1" outlineLevel="1">
      <c r="A12" s="19" t="b">
        <v>0</v>
      </c>
      <c r="B12" s="34" t="s">
        <v>722</v>
      </c>
      <c r="C12" s="35" t="s">
        <v>20</v>
      </c>
      <c r="D12" s="34" t="s">
        <v>21</v>
      </c>
      <c r="E12" s="35">
        <v>12.0</v>
      </c>
      <c r="F12" s="34">
        <v>2.0</v>
      </c>
      <c r="G12" s="34" t="s">
        <v>45</v>
      </c>
      <c r="H12" s="34" t="s">
        <v>31</v>
      </c>
      <c r="I12" s="34" t="s">
        <v>31</v>
      </c>
      <c r="J12" s="40" t="s">
        <v>723</v>
      </c>
      <c r="K12" s="19" t="b">
        <v>1</v>
      </c>
      <c r="L12" s="19" t="b">
        <v>1</v>
      </c>
      <c r="M12" s="19" t="b">
        <v>1</v>
      </c>
      <c r="N12" s="19" t="b">
        <v>1</v>
      </c>
      <c r="O12" s="19" t="b">
        <v>1</v>
      </c>
      <c r="P12" s="65"/>
      <c r="Q12" s="65" t="s">
        <v>62</v>
      </c>
      <c r="R12" s="66" t="s">
        <v>58</v>
      </c>
      <c r="S12" s="33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</row>
    <row r="13" outlineLevel="1">
      <c r="A13" s="19" t="b">
        <v>0</v>
      </c>
      <c r="B13" s="34" t="s">
        <v>724</v>
      </c>
      <c r="C13" s="35" t="s">
        <v>77</v>
      </c>
      <c r="D13" s="34" t="s">
        <v>196</v>
      </c>
      <c r="E13" s="34">
        <v>1.0</v>
      </c>
      <c r="F13" s="34">
        <v>1.0</v>
      </c>
      <c r="G13" s="34" t="s">
        <v>70</v>
      </c>
      <c r="H13" s="34" t="s">
        <v>31</v>
      </c>
      <c r="I13" s="34" t="s">
        <v>23</v>
      </c>
      <c r="J13" s="372">
        <v>45912.0</v>
      </c>
      <c r="K13" s="19" t="b">
        <v>1</v>
      </c>
      <c r="L13" s="19" t="b">
        <v>0</v>
      </c>
      <c r="M13" s="19" t="b">
        <v>1</v>
      </c>
      <c r="N13" s="19" t="b">
        <v>1</v>
      </c>
      <c r="O13" s="19" t="b">
        <v>0</v>
      </c>
      <c r="P13" s="274" t="s">
        <v>51</v>
      </c>
      <c r="Q13" s="65" t="s">
        <v>66</v>
      </c>
      <c r="R13" s="69" t="s">
        <v>67</v>
      </c>
      <c r="S13" s="39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</row>
    <row r="14" outlineLevel="1">
      <c r="A14" s="19" t="b">
        <v>0</v>
      </c>
      <c r="B14" s="34" t="s">
        <v>410</v>
      </c>
      <c r="C14" s="35" t="s">
        <v>20</v>
      </c>
      <c r="D14" s="34" t="s">
        <v>716</v>
      </c>
      <c r="E14" s="34">
        <v>6.5</v>
      </c>
      <c r="F14" s="34">
        <v>2.0</v>
      </c>
      <c r="G14" s="34" t="s">
        <v>45</v>
      </c>
      <c r="H14" s="34" t="s">
        <v>31</v>
      </c>
      <c r="I14" s="34" t="s">
        <v>31</v>
      </c>
      <c r="J14" s="373">
        <v>45909.0</v>
      </c>
      <c r="K14" s="19" t="b">
        <v>0</v>
      </c>
      <c r="L14" s="19" t="b">
        <v>0</v>
      </c>
      <c r="M14" s="19" t="b">
        <v>0</v>
      </c>
      <c r="N14" s="19" t="b">
        <v>0</v>
      </c>
      <c r="O14" s="19" t="b">
        <v>0</v>
      </c>
      <c r="P14" s="150" t="s">
        <v>725</v>
      </c>
      <c r="Q14" s="192" t="s">
        <v>343</v>
      </c>
      <c r="R14" s="193" t="s">
        <v>58</v>
      </c>
      <c r="S14" s="39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</row>
    <row r="15" ht="15.0" customHeight="1" outlineLevel="1">
      <c r="A15" s="19" t="b">
        <v>0</v>
      </c>
      <c r="B15" s="34" t="s">
        <v>726</v>
      </c>
      <c r="C15" s="35" t="s">
        <v>20</v>
      </c>
      <c r="D15" s="34" t="s">
        <v>21</v>
      </c>
      <c r="E15" s="34">
        <v>0.5</v>
      </c>
      <c r="F15" s="34">
        <v>1.0</v>
      </c>
      <c r="G15" s="34" t="s">
        <v>34</v>
      </c>
      <c r="H15" s="34" t="s">
        <v>23</v>
      </c>
      <c r="I15" s="34" t="s">
        <v>23</v>
      </c>
      <c r="J15" s="149">
        <v>45889.0</v>
      </c>
      <c r="K15" s="19" t="b">
        <v>1</v>
      </c>
      <c r="L15" s="19" t="b">
        <v>0</v>
      </c>
      <c r="M15" s="19" t="b">
        <v>1</v>
      </c>
      <c r="N15" s="19" t="b">
        <v>1</v>
      </c>
      <c r="O15" s="19" t="b">
        <v>0</v>
      </c>
      <c r="P15" s="274" t="s">
        <v>727</v>
      </c>
      <c r="Q15" s="65" t="s">
        <v>345</v>
      </c>
      <c r="R15" s="193" t="s">
        <v>671</v>
      </c>
      <c r="S15" s="39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</row>
    <row r="16" outlineLevel="1">
      <c r="A16" s="19" t="b">
        <v>0</v>
      </c>
      <c r="B16" s="140" t="s">
        <v>622</v>
      </c>
      <c r="C16" s="86" t="s">
        <v>20</v>
      </c>
      <c r="D16" s="86" t="s">
        <v>21</v>
      </c>
      <c r="E16" s="86">
        <v>8.0</v>
      </c>
      <c r="F16" s="86">
        <v>2.0</v>
      </c>
      <c r="G16" s="140" t="s">
        <v>226</v>
      </c>
      <c r="H16" s="140" t="s">
        <v>31</v>
      </c>
      <c r="I16" s="140" t="s">
        <v>31</v>
      </c>
      <c r="J16" s="40" t="s">
        <v>728</v>
      </c>
      <c r="K16" s="19" t="b">
        <v>0</v>
      </c>
      <c r="L16" s="19" t="b">
        <v>0</v>
      </c>
      <c r="M16" s="19" t="b">
        <v>0</v>
      </c>
      <c r="N16" s="19" t="b">
        <v>0</v>
      </c>
      <c r="O16" s="19" t="b">
        <v>0</v>
      </c>
      <c r="P16" s="65"/>
      <c r="Q16" s="65" t="s">
        <v>71</v>
      </c>
      <c r="R16" s="72" t="s">
        <v>58</v>
      </c>
      <c r="S16" s="39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</row>
    <row r="17" outlineLevel="1">
      <c r="A17" s="19" t="b">
        <v>0</v>
      </c>
      <c r="B17" s="34" t="s">
        <v>729</v>
      </c>
      <c r="C17" s="35" t="s">
        <v>20</v>
      </c>
      <c r="D17" s="34" t="s">
        <v>21</v>
      </c>
      <c r="E17" s="34">
        <v>6.0</v>
      </c>
      <c r="F17" s="34">
        <v>3.0</v>
      </c>
      <c r="G17" s="34" t="s">
        <v>45</v>
      </c>
      <c r="H17" s="34" t="s">
        <v>31</v>
      </c>
      <c r="I17" s="34" t="s">
        <v>31</v>
      </c>
      <c r="J17" s="149">
        <v>45936.0</v>
      </c>
      <c r="K17" s="19" t="b">
        <v>1</v>
      </c>
      <c r="L17" s="19" t="b">
        <v>1</v>
      </c>
      <c r="M17" s="19" t="b">
        <v>1</v>
      </c>
      <c r="N17" s="19" t="b">
        <v>1</v>
      </c>
      <c r="O17" s="19" t="b">
        <v>0</v>
      </c>
      <c r="P17" s="135"/>
      <c r="Q17" s="135"/>
      <c r="R17" s="137"/>
      <c r="S17" s="39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</row>
    <row r="18" outlineLevel="1">
      <c r="A18" s="19" t="b">
        <v>0</v>
      </c>
      <c r="B18" s="34" t="s">
        <v>730</v>
      </c>
      <c r="C18" s="35" t="s">
        <v>20</v>
      </c>
      <c r="D18" s="34" t="s">
        <v>21</v>
      </c>
      <c r="E18" s="34">
        <v>1.0</v>
      </c>
      <c r="F18" s="34">
        <v>1.0</v>
      </c>
      <c r="G18" s="34" t="s">
        <v>22</v>
      </c>
      <c r="H18" s="34" t="s">
        <v>23</v>
      </c>
      <c r="I18" s="34" t="s">
        <v>23</v>
      </c>
      <c r="J18" s="40" t="s">
        <v>731</v>
      </c>
      <c r="K18" s="19" t="b">
        <v>1</v>
      </c>
      <c r="L18" s="19" t="b">
        <v>0</v>
      </c>
      <c r="M18" s="19" t="b">
        <v>1</v>
      </c>
      <c r="N18" s="19" t="b">
        <v>1</v>
      </c>
      <c r="O18" s="19" t="b">
        <v>0</v>
      </c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</row>
    <row r="19" outlineLevel="1">
      <c r="A19" s="19" t="b">
        <v>0</v>
      </c>
      <c r="B19" s="35" t="s">
        <v>245</v>
      </c>
      <c r="C19" s="35" t="s">
        <v>20</v>
      </c>
      <c r="D19" s="35" t="s">
        <v>156</v>
      </c>
      <c r="E19" s="35">
        <v>0.0</v>
      </c>
      <c r="F19" s="35">
        <v>0.0</v>
      </c>
      <c r="G19" s="34"/>
      <c r="H19" s="35" t="s">
        <v>31</v>
      </c>
      <c r="I19" s="34"/>
      <c r="J19" s="149">
        <v>45909.0</v>
      </c>
      <c r="K19" s="19" t="b">
        <v>0</v>
      </c>
      <c r="L19" s="19" t="b">
        <v>0</v>
      </c>
      <c r="M19" s="19" t="b">
        <v>0</v>
      </c>
      <c r="N19" s="19" t="b">
        <v>0</v>
      </c>
      <c r="O19" s="19" t="b">
        <v>0</v>
      </c>
      <c r="P19" s="244"/>
      <c r="Q19" s="77" t="s">
        <v>79</v>
      </c>
      <c r="R19" s="78"/>
      <c r="S19" s="79"/>
      <c r="U19" s="80" t="s">
        <v>80</v>
      </c>
      <c r="V19" s="73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</row>
    <row r="20" ht="32.25" customHeight="1" outlineLevel="1">
      <c r="A20" s="19" t="b">
        <v>0</v>
      </c>
      <c r="B20" s="34" t="s">
        <v>732</v>
      </c>
      <c r="C20" s="35" t="s">
        <v>20</v>
      </c>
      <c r="D20" s="34" t="s">
        <v>21</v>
      </c>
      <c r="E20" s="34">
        <v>1.5</v>
      </c>
      <c r="F20" s="34">
        <v>2.0</v>
      </c>
      <c r="G20" s="34" t="s">
        <v>58</v>
      </c>
      <c r="H20" s="34" t="s">
        <v>23</v>
      </c>
      <c r="I20" s="34" t="s">
        <v>23</v>
      </c>
      <c r="J20" s="374">
        <v>45940.0</v>
      </c>
      <c r="K20" s="19" t="b">
        <v>1</v>
      </c>
      <c r="L20" s="19" t="b">
        <v>1</v>
      </c>
      <c r="M20" s="19" t="b">
        <v>1</v>
      </c>
      <c r="N20" s="19" t="b">
        <v>1</v>
      </c>
      <c r="O20" s="19" t="b">
        <v>1</v>
      </c>
      <c r="P20" s="245"/>
      <c r="Q20" s="81" t="s">
        <v>83</v>
      </c>
      <c r="R20" s="82" t="s">
        <v>84</v>
      </c>
      <c r="S20" s="83"/>
      <c r="T20" s="84" t="s">
        <v>85</v>
      </c>
      <c r="U20" s="85" t="s">
        <v>86</v>
      </c>
      <c r="V20" s="73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</row>
    <row r="21" ht="28.5" customHeight="1" outlineLevel="1">
      <c r="A21" s="19" t="b">
        <v>0</v>
      </c>
      <c r="B21" s="34" t="s">
        <v>260</v>
      </c>
      <c r="C21" s="35" t="s">
        <v>20</v>
      </c>
      <c r="D21" s="34" t="s">
        <v>733</v>
      </c>
      <c r="E21" s="34">
        <v>10.0</v>
      </c>
      <c r="F21" s="34">
        <v>2.0</v>
      </c>
      <c r="G21" s="34" t="s">
        <v>45</v>
      </c>
      <c r="H21" s="34" t="s">
        <v>31</v>
      </c>
      <c r="I21" s="34" t="s">
        <v>23</v>
      </c>
      <c r="J21" s="40" t="s">
        <v>734</v>
      </c>
      <c r="K21" s="19" t="b">
        <v>1</v>
      </c>
      <c r="L21" s="19" t="b">
        <v>1</v>
      </c>
      <c r="M21" s="19" t="b">
        <v>1</v>
      </c>
      <c r="N21" s="19" t="b">
        <v>1</v>
      </c>
      <c r="O21" s="19" t="b">
        <v>0</v>
      </c>
      <c r="P21" s="248"/>
      <c r="Q21" s="375" t="s">
        <v>92</v>
      </c>
      <c r="R21" s="376" t="s">
        <v>93</v>
      </c>
      <c r="S21" s="377"/>
      <c r="T21" s="84" t="s">
        <v>85</v>
      </c>
      <c r="U21" s="85" t="s">
        <v>94</v>
      </c>
      <c r="V21" s="73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</row>
    <row r="22" ht="39.75" customHeight="1" outlineLevel="1">
      <c r="A22" s="19" t="b">
        <v>0</v>
      </c>
      <c r="B22" s="140" t="s">
        <v>654</v>
      </c>
      <c r="C22" s="86" t="s">
        <v>20</v>
      </c>
      <c r="D22" s="140" t="s">
        <v>21</v>
      </c>
      <c r="E22" s="140">
        <v>1.5</v>
      </c>
      <c r="F22" s="140">
        <v>1.0</v>
      </c>
      <c r="G22" s="140" t="s">
        <v>22</v>
      </c>
      <c r="H22" s="140" t="s">
        <v>23</v>
      </c>
      <c r="I22" s="140" t="s">
        <v>23</v>
      </c>
      <c r="J22" s="40" t="s">
        <v>728</v>
      </c>
      <c r="K22" s="19" t="b">
        <v>1</v>
      </c>
      <c r="L22" s="19" t="b">
        <v>0</v>
      </c>
      <c r="M22" s="19" t="b">
        <v>1</v>
      </c>
      <c r="N22" s="19" t="b">
        <v>1</v>
      </c>
      <c r="O22" s="19" t="b">
        <v>0</v>
      </c>
      <c r="P22" s="194"/>
      <c r="Q22" s="378" t="s">
        <v>97</v>
      </c>
      <c r="R22" s="379" t="s">
        <v>98</v>
      </c>
      <c r="S22" s="53"/>
      <c r="T22" s="84" t="s">
        <v>85</v>
      </c>
      <c r="U22" s="85" t="s">
        <v>94</v>
      </c>
      <c r="V22" s="73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</row>
    <row r="23" ht="27.0" customHeight="1" outlineLevel="1">
      <c r="A23" s="19" t="b">
        <v>0</v>
      </c>
      <c r="B23" s="140" t="s">
        <v>735</v>
      </c>
      <c r="C23" s="86" t="s">
        <v>20</v>
      </c>
      <c r="D23" s="140" t="s">
        <v>21</v>
      </c>
      <c r="E23" s="140">
        <v>3.0</v>
      </c>
      <c r="F23" s="140">
        <v>2.0</v>
      </c>
      <c r="G23" s="140" t="s">
        <v>58</v>
      </c>
      <c r="H23" s="140" t="s">
        <v>31</v>
      </c>
      <c r="I23" s="140" t="s">
        <v>23</v>
      </c>
      <c r="J23" s="48" t="s">
        <v>46</v>
      </c>
      <c r="K23" s="19" t="b">
        <v>0</v>
      </c>
      <c r="L23" s="19" t="b">
        <v>0</v>
      </c>
      <c r="M23" s="19" t="b">
        <v>0</v>
      </c>
      <c r="N23" s="19" t="b">
        <v>0</v>
      </c>
      <c r="O23" s="19" t="b">
        <v>0</v>
      </c>
      <c r="P23" s="194"/>
      <c r="Q23" s="89" t="s">
        <v>90</v>
      </c>
      <c r="R23" s="82" t="s">
        <v>91</v>
      </c>
      <c r="S23" s="83"/>
      <c r="T23" s="84"/>
      <c r="U23" s="85"/>
      <c r="V23" s="73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</row>
    <row r="24" ht="15.75" customHeight="1" outlineLevel="1">
      <c r="A24" s="19" t="b">
        <v>0</v>
      </c>
      <c r="B24" s="34" t="s">
        <v>736</v>
      </c>
      <c r="C24" s="35" t="s">
        <v>77</v>
      </c>
      <c r="D24" s="34" t="s">
        <v>21</v>
      </c>
      <c r="E24" s="34">
        <v>7.0</v>
      </c>
      <c r="F24" s="34">
        <v>2.0</v>
      </c>
      <c r="G24" s="34" t="s">
        <v>70</v>
      </c>
      <c r="H24" s="34" t="s">
        <v>31</v>
      </c>
      <c r="I24" s="34" t="s">
        <v>31</v>
      </c>
      <c r="J24" s="128">
        <v>45895.0</v>
      </c>
      <c r="K24" s="19" t="b">
        <v>1</v>
      </c>
      <c r="L24" s="19" t="b">
        <v>0</v>
      </c>
      <c r="M24" s="19" t="b">
        <v>0</v>
      </c>
      <c r="N24" s="19" t="b">
        <v>0</v>
      </c>
      <c r="O24" s="19" t="b">
        <v>0</v>
      </c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</row>
    <row r="25" ht="15.75" customHeight="1" outlineLevel="1">
      <c r="A25" s="19" t="b">
        <v>0</v>
      </c>
      <c r="B25" s="140" t="s">
        <v>737</v>
      </c>
      <c r="C25" s="86" t="s">
        <v>20</v>
      </c>
      <c r="D25" s="140" t="s">
        <v>21</v>
      </c>
      <c r="E25" s="140">
        <v>24.0</v>
      </c>
      <c r="F25" s="140">
        <v>2.0</v>
      </c>
      <c r="G25" s="140" t="s">
        <v>58</v>
      </c>
      <c r="H25" s="140" t="s">
        <v>31</v>
      </c>
      <c r="I25" s="140" t="s">
        <v>31</v>
      </c>
      <c r="J25" s="48" t="s">
        <v>46</v>
      </c>
      <c r="K25" s="19" t="b">
        <v>1</v>
      </c>
      <c r="L25" s="19" t="b">
        <v>1</v>
      </c>
      <c r="M25" s="19" t="b">
        <v>1</v>
      </c>
      <c r="N25" s="19" t="b">
        <v>1</v>
      </c>
      <c r="O25" s="19" t="b">
        <v>1</v>
      </c>
      <c r="P25" s="249"/>
      <c r="Q25" s="201" t="s">
        <v>362</v>
      </c>
      <c r="R25" s="103" t="str">
        <f>(E3*F3)+(E4*F4)+(E5*F5)+(E6*F6)+(E7*F7)+(E8*F8)+(E9*F9)+(E10*F10)+(E11*F11)+(E12*F12)+(E13*F13)+(E14*F14)+(E15*F15)+(E16*F16)+(E17*F17)+(E18*F18)+(E19*F19)+(E21*F21)+(E22*F22)+(E23*F23)+(E24*F24)+(E25*F25)+(E26*F26)+(E27*F27)+(E28*F28)+(E29*F29)+(E30*F30)+(E31*F31)+(E32*F32)+(E33*F33)+(E34*F34)+(E35*F35)+(E36*F36)+(E37*F37)+(E38*F38)+(E39*F39)+(E40*F40)+(E41*F41)+(E42*F42)+(E43*F43)+(E44*F44)+(E45*F45)+(E46*F46)+(E47*F47)+(E48*F48)+(E49*F49)+(E50*F50)+(E51*F51)+(E52*F52)+(E53*F53)+(E54*F54)+(E55*F55)+(E56*F56)+(E57*F57)+(E58*F58)+(E59*F59)+(E60*F60)+(E61*F61)+(E62*F62)+(E63*F63)+(E64*F64)+(E65*F65)+(E66*F66)+(E67*F67)+(E68*F68)+(E69*F69)+(E70*F70)+(E71*F71)+(E72*F72)+(E73*F73)+(E74*F74)+(E75*F75)+(E76*F76)+(E77*F77)+(E78*F78)+(E79*F79)+(E80*F80)+(E81*F81)+(E82*F82)+(E83*F83)+(E84*F84)+(E85*F85)+(E86*F86)+(E87*F87)+(E88*F88)+(E89*F89)+(E90*F90)+(E91*F91)+(E92*F92)+(E93*F93)+(E94*F94)+(E95*F95)+(E96*F96)+(E97*F97)+(E98*F98)+(E99*F99)</f>
        <v>#VALUE!</v>
      </c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</row>
    <row r="26" ht="15.75" customHeight="1" outlineLevel="1">
      <c r="A26" s="19" t="b">
        <v>0</v>
      </c>
      <c r="B26" s="34" t="s">
        <v>738</v>
      </c>
      <c r="C26" s="35" t="s">
        <v>628</v>
      </c>
      <c r="D26" s="34" t="s">
        <v>21</v>
      </c>
      <c r="E26" s="34">
        <v>2.0</v>
      </c>
      <c r="F26" s="34">
        <v>1.0</v>
      </c>
      <c r="G26" s="34" t="s">
        <v>22</v>
      </c>
      <c r="H26" s="34" t="s">
        <v>23</v>
      </c>
      <c r="I26" s="34" t="s">
        <v>23</v>
      </c>
      <c r="J26" s="149">
        <v>45897.0</v>
      </c>
      <c r="K26" s="19" t="b">
        <v>1</v>
      </c>
      <c r="L26" s="19" t="b">
        <v>0</v>
      </c>
      <c r="M26" s="19" t="b">
        <v>1</v>
      </c>
      <c r="N26" s="19" t="b">
        <v>1</v>
      </c>
      <c r="O26" s="19" t="b">
        <v>0</v>
      </c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</row>
    <row r="27" ht="15.75" customHeight="1" outlineLevel="1">
      <c r="A27" s="19" t="b">
        <v>0</v>
      </c>
      <c r="B27" s="34" t="s">
        <v>739</v>
      </c>
      <c r="C27" s="35" t="s">
        <v>122</v>
      </c>
      <c r="D27" s="34" t="s">
        <v>21</v>
      </c>
      <c r="E27" s="35">
        <v>6.0</v>
      </c>
      <c r="F27" s="34">
        <v>2.0</v>
      </c>
      <c r="G27" s="34" t="s">
        <v>58</v>
      </c>
      <c r="H27" s="34" t="s">
        <v>23</v>
      </c>
      <c r="I27" s="34" t="s">
        <v>31</v>
      </c>
      <c r="J27" s="40" t="s">
        <v>740</v>
      </c>
      <c r="K27" s="19" t="b">
        <v>1</v>
      </c>
      <c r="L27" s="19" t="b">
        <v>1</v>
      </c>
      <c r="M27" s="19" t="b">
        <v>1</v>
      </c>
      <c r="N27" s="19" t="b">
        <v>1</v>
      </c>
      <c r="O27" s="19" t="b">
        <v>1</v>
      </c>
      <c r="P27" s="253"/>
      <c r="Q27" s="143" t="s">
        <v>192</v>
      </c>
      <c r="R27" s="144"/>
      <c r="S27" s="18"/>
      <c r="T27" s="103">
        <v>685.0</v>
      </c>
      <c r="U27" s="85"/>
      <c r="V27" s="85" t="s">
        <v>193</v>
      </c>
      <c r="AF27" s="118"/>
      <c r="AG27" s="118"/>
    </row>
    <row r="28" ht="15.75" customHeight="1" outlineLevel="1">
      <c r="A28" s="19" t="b">
        <v>0</v>
      </c>
      <c r="B28" s="34" t="s">
        <v>741</v>
      </c>
      <c r="C28" s="35" t="s">
        <v>628</v>
      </c>
      <c r="D28" s="34" t="s">
        <v>21</v>
      </c>
      <c r="E28" s="380" t="s">
        <v>742</v>
      </c>
      <c r="F28" s="34">
        <v>3.0</v>
      </c>
      <c r="G28" s="34" t="s">
        <v>45</v>
      </c>
      <c r="H28" s="34" t="s">
        <v>31</v>
      </c>
      <c r="I28" s="34" t="s">
        <v>23</v>
      </c>
      <c r="J28" s="48" t="s">
        <v>743</v>
      </c>
      <c r="K28" s="19" t="b">
        <v>0</v>
      </c>
      <c r="L28" s="19" t="b">
        <v>0</v>
      </c>
      <c r="M28" s="19" t="b">
        <v>0</v>
      </c>
      <c r="N28" s="19" t="b">
        <v>0</v>
      </c>
      <c r="O28" s="59" t="b">
        <v>0</v>
      </c>
      <c r="P28" s="85"/>
      <c r="Q28" s="85"/>
      <c r="R28" s="85"/>
      <c r="S28" s="85"/>
      <c r="T28" s="96"/>
      <c r="U28" s="85"/>
      <c r="V28" s="85"/>
      <c r="AF28" s="118"/>
      <c r="AG28" s="118"/>
    </row>
    <row r="29" ht="15.75" customHeight="1" outlineLevel="1">
      <c r="A29" s="19" t="b">
        <v>0</v>
      </c>
      <c r="B29" s="34" t="s">
        <v>562</v>
      </c>
      <c r="C29" s="35" t="s">
        <v>82</v>
      </c>
      <c r="D29" s="34" t="s">
        <v>21</v>
      </c>
      <c r="E29" s="34">
        <v>3.0</v>
      </c>
      <c r="F29" s="34">
        <v>2.0</v>
      </c>
      <c r="G29" s="34" t="s">
        <v>45</v>
      </c>
      <c r="H29" s="34" t="s">
        <v>31</v>
      </c>
      <c r="I29" s="34" t="s">
        <v>23</v>
      </c>
      <c r="J29" s="48" t="s">
        <v>46</v>
      </c>
      <c r="K29" s="19" t="b">
        <v>0</v>
      </c>
      <c r="L29" s="19" t="b">
        <v>0</v>
      </c>
      <c r="M29" s="19" t="b">
        <v>0</v>
      </c>
      <c r="N29" s="19" t="b">
        <v>0</v>
      </c>
      <c r="O29" s="19" t="b">
        <v>0</v>
      </c>
      <c r="P29" s="329"/>
      <c r="Q29" s="141" t="s">
        <v>199</v>
      </c>
      <c r="R29" s="102"/>
      <c r="S29" s="103" t="str">
        <f>T27-R25</f>
        <v>#VALUE!</v>
      </c>
      <c r="T29" s="96"/>
      <c r="U29" s="85"/>
      <c r="V29" s="257" t="s">
        <v>744</v>
      </c>
      <c r="W29" s="258"/>
      <c r="X29" s="258"/>
      <c r="Y29" s="258"/>
      <c r="AF29" s="118"/>
      <c r="AG29" s="118"/>
    </row>
    <row r="30" ht="15.75" customHeight="1" outlineLevel="1">
      <c r="A30" s="19" t="b">
        <v>0</v>
      </c>
      <c r="B30" s="34" t="s">
        <v>745</v>
      </c>
      <c r="C30" s="35" t="s">
        <v>20</v>
      </c>
      <c r="D30" s="34" t="s">
        <v>21</v>
      </c>
      <c r="E30" s="35">
        <v>6.0</v>
      </c>
      <c r="F30" s="34">
        <v>2.0</v>
      </c>
      <c r="G30" s="34" t="s">
        <v>45</v>
      </c>
      <c r="H30" s="34" t="s">
        <v>31</v>
      </c>
      <c r="I30" s="34" t="s">
        <v>31</v>
      </c>
      <c r="J30" s="40" t="s">
        <v>746</v>
      </c>
      <c r="K30" s="19" t="b">
        <v>1</v>
      </c>
      <c r="L30" s="19" t="b">
        <v>1</v>
      </c>
      <c r="M30" s="19" t="b">
        <v>1</v>
      </c>
      <c r="N30" s="19" t="b">
        <v>1</v>
      </c>
      <c r="O30" s="19" t="b">
        <v>0</v>
      </c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</row>
    <row r="31" ht="15.75" customHeight="1" outlineLevel="1">
      <c r="A31" s="19" t="b">
        <v>0</v>
      </c>
      <c r="B31" s="34" t="s">
        <v>747</v>
      </c>
      <c r="C31" s="35" t="s">
        <v>20</v>
      </c>
      <c r="D31" s="35" t="s">
        <v>748</v>
      </c>
      <c r="E31" s="34">
        <v>8.0</v>
      </c>
      <c r="F31" s="34">
        <v>2.0</v>
      </c>
      <c r="G31" s="34" t="s">
        <v>45</v>
      </c>
      <c r="H31" s="34" t="s">
        <v>31</v>
      </c>
      <c r="I31" s="34" t="s">
        <v>31</v>
      </c>
      <c r="J31" s="40" t="s">
        <v>749</v>
      </c>
      <c r="K31" s="19" t="b">
        <v>1</v>
      </c>
      <c r="L31" s="19" t="b">
        <v>1</v>
      </c>
      <c r="M31" s="19" t="b">
        <v>1</v>
      </c>
      <c r="N31" s="19" t="b">
        <v>1</v>
      </c>
      <c r="O31" s="19" t="b">
        <v>1</v>
      </c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</row>
    <row r="32" ht="15.75" customHeight="1" outlineLevel="1">
      <c r="A32" s="19" t="b">
        <v>0</v>
      </c>
      <c r="B32" s="34" t="s">
        <v>750</v>
      </c>
      <c r="C32" s="35" t="s">
        <v>20</v>
      </c>
      <c r="D32" s="34" t="s">
        <v>21</v>
      </c>
      <c r="E32" s="34">
        <v>8.0</v>
      </c>
      <c r="F32" s="34">
        <v>2.0</v>
      </c>
      <c r="G32" s="34" t="s">
        <v>45</v>
      </c>
      <c r="H32" s="34" t="s">
        <v>31</v>
      </c>
      <c r="I32" s="34" t="s">
        <v>31</v>
      </c>
      <c r="J32" s="128">
        <v>45898.0</v>
      </c>
      <c r="K32" s="19" t="b">
        <v>1</v>
      </c>
      <c r="L32" s="19" t="b">
        <v>1</v>
      </c>
      <c r="M32" s="19" t="b">
        <v>1</v>
      </c>
      <c r="N32" s="19" t="b">
        <v>1</v>
      </c>
      <c r="O32" s="59" t="b">
        <v>1</v>
      </c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</row>
    <row r="33" ht="15.75" customHeight="1" outlineLevel="1">
      <c r="A33" s="106" t="b">
        <v>0</v>
      </c>
      <c r="B33" s="140" t="s">
        <v>751</v>
      </c>
      <c r="C33" s="86" t="s">
        <v>20</v>
      </c>
      <c r="D33" s="140" t="s">
        <v>21</v>
      </c>
      <c r="E33" s="140">
        <v>3.0</v>
      </c>
      <c r="F33" s="140">
        <v>1.0</v>
      </c>
      <c r="G33" s="140" t="s">
        <v>61</v>
      </c>
      <c r="H33" s="140" t="s">
        <v>23</v>
      </c>
      <c r="I33" s="140" t="s">
        <v>23</v>
      </c>
      <c r="J33" s="213" t="s">
        <v>752</v>
      </c>
      <c r="K33" s="19" t="b">
        <v>0</v>
      </c>
      <c r="L33" s="19" t="b">
        <v>0</v>
      </c>
      <c r="M33" s="19" t="b">
        <v>0</v>
      </c>
      <c r="N33" s="19" t="b">
        <v>0</v>
      </c>
      <c r="O33" s="59" t="b">
        <v>0</v>
      </c>
      <c r="P33" s="381" t="s">
        <v>46</v>
      </c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</row>
    <row r="34" ht="15.75" customHeight="1" outlineLevel="1">
      <c r="A34" s="19" t="b">
        <v>0</v>
      </c>
      <c r="B34" s="27" t="s">
        <v>121</v>
      </c>
      <c r="C34" s="28" t="s">
        <v>122</v>
      </c>
      <c r="D34" s="27" t="s">
        <v>123</v>
      </c>
      <c r="E34" s="27">
        <v>2.0</v>
      </c>
      <c r="F34" s="27">
        <v>1.0</v>
      </c>
      <c r="G34" s="34" t="s">
        <v>58</v>
      </c>
      <c r="H34" s="27" t="s">
        <v>23</v>
      </c>
      <c r="I34" s="27" t="s">
        <v>31</v>
      </c>
      <c r="J34" s="40" t="s">
        <v>753</v>
      </c>
      <c r="K34" s="19" t="b">
        <v>1</v>
      </c>
      <c r="L34" s="19" t="b">
        <v>0</v>
      </c>
      <c r="M34" s="19" t="b">
        <v>0</v>
      </c>
      <c r="N34" s="19" t="b">
        <v>0</v>
      </c>
      <c r="O34" s="19" t="b">
        <v>0</v>
      </c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</row>
    <row r="35" ht="15.75" customHeight="1" outlineLevel="1">
      <c r="A35" s="19" t="b">
        <v>0</v>
      </c>
      <c r="B35" s="34" t="s">
        <v>754</v>
      </c>
      <c r="C35" s="35" t="s">
        <v>20</v>
      </c>
      <c r="D35" s="34" t="s">
        <v>21</v>
      </c>
      <c r="E35" s="34">
        <v>2.0</v>
      </c>
      <c r="F35" s="34">
        <v>1.0</v>
      </c>
      <c r="G35" s="34" t="s">
        <v>22</v>
      </c>
      <c r="H35" s="34" t="s">
        <v>23</v>
      </c>
      <c r="I35" s="34" t="s">
        <v>23</v>
      </c>
      <c r="J35" s="149">
        <v>45931.0</v>
      </c>
      <c r="K35" s="19" t="b">
        <v>1</v>
      </c>
      <c r="L35" s="19" t="b">
        <v>1</v>
      </c>
      <c r="M35" s="19" t="b">
        <v>1</v>
      </c>
      <c r="N35" s="19" t="b">
        <v>1</v>
      </c>
      <c r="O35" s="19" t="b">
        <v>1</v>
      </c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</row>
    <row r="36" ht="15.75" customHeight="1" outlineLevel="1">
      <c r="A36" s="19" t="b">
        <v>0</v>
      </c>
      <c r="B36" s="34" t="s">
        <v>755</v>
      </c>
      <c r="C36" s="35" t="s">
        <v>77</v>
      </c>
      <c r="D36" s="34" t="s">
        <v>21</v>
      </c>
      <c r="E36" s="34">
        <v>3.0</v>
      </c>
      <c r="F36" s="34">
        <v>1.0</v>
      </c>
      <c r="G36" s="34" t="s">
        <v>22</v>
      </c>
      <c r="H36" s="34" t="s">
        <v>23</v>
      </c>
      <c r="I36" s="34" t="s">
        <v>23</v>
      </c>
      <c r="J36" s="165" t="s">
        <v>756</v>
      </c>
      <c r="K36" s="19" t="b">
        <v>0</v>
      </c>
      <c r="L36" s="19" t="b">
        <v>0</v>
      </c>
      <c r="M36" s="19" t="b">
        <v>0</v>
      </c>
      <c r="N36" s="19" t="b">
        <v>0</v>
      </c>
      <c r="O36" s="19" t="b">
        <v>0</v>
      </c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</row>
    <row r="37" ht="15.75" customHeight="1" outlineLevel="1">
      <c r="A37" s="106" t="b">
        <v>0</v>
      </c>
      <c r="B37" s="140" t="s">
        <v>433</v>
      </c>
      <c r="C37" s="86" t="s">
        <v>20</v>
      </c>
      <c r="D37" s="86" t="s">
        <v>757</v>
      </c>
      <c r="E37" s="86">
        <v>12.0</v>
      </c>
      <c r="F37" s="86">
        <v>2.0</v>
      </c>
      <c r="G37" s="140" t="s">
        <v>27</v>
      </c>
      <c r="H37" s="140" t="s">
        <v>31</v>
      </c>
      <c r="I37" s="140" t="s">
        <v>23</v>
      </c>
      <c r="J37" s="48" t="s">
        <v>46</v>
      </c>
      <c r="K37" s="19" t="b">
        <v>0</v>
      </c>
      <c r="L37" s="19" t="b">
        <v>0</v>
      </c>
      <c r="M37" s="19" t="b">
        <v>0</v>
      </c>
      <c r="N37" s="19" t="b">
        <v>0</v>
      </c>
      <c r="O37" s="19" t="b">
        <v>0</v>
      </c>
      <c r="P37" s="130" t="s">
        <v>758</v>
      </c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</row>
    <row r="38" ht="15.75" customHeight="1" outlineLevel="1">
      <c r="A38" s="19" t="b">
        <v>0</v>
      </c>
      <c r="B38" s="34" t="s">
        <v>514</v>
      </c>
      <c r="C38" s="35" t="s">
        <v>167</v>
      </c>
      <c r="D38" s="34" t="s">
        <v>759</v>
      </c>
      <c r="E38" s="34">
        <v>1.5</v>
      </c>
      <c r="F38" s="34">
        <v>1.0</v>
      </c>
      <c r="G38" s="34" t="s">
        <v>27</v>
      </c>
      <c r="H38" s="34" t="s">
        <v>31</v>
      </c>
      <c r="I38" s="34" t="s">
        <v>31</v>
      </c>
      <c r="J38" s="128">
        <v>45961.0</v>
      </c>
      <c r="K38" s="19" t="b">
        <v>0</v>
      </c>
      <c r="L38" s="19" t="b">
        <v>0</v>
      </c>
      <c r="M38" s="19" t="b">
        <v>0</v>
      </c>
      <c r="N38" s="19" t="b">
        <v>0</v>
      </c>
      <c r="O38" s="19" t="b">
        <v>0</v>
      </c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</row>
    <row r="39" ht="15.75" customHeight="1" outlineLevel="1">
      <c r="A39" s="19" t="b">
        <v>1</v>
      </c>
      <c r="B39" s="34" t="s">
        <v>760</v>
      </c>
      <c r="C39" s="35" t="s">
        <v>20</v>
      </c>
      <c r="D39" s="34" t="s">
        <v>21</v>
      </c>
      <c r="E39" s="34">
        <v>2.5</v>
      </c>
      <c r="F39" s="34">
        <v>2.0</v>
      </c>
      <c r="G39" s="34" t="s">
        <v>70</v>
      </c>
      <c r="H39" s="34" t="s">
        <v>23</v>
      </c>
      <c r="I39" s="34" t="s">
        <v>31</v>
      </c>
      <c r="J39" s="99" t="s">
        <v>761</v>
      </c>
      <c r="K39" s="19" t="b">
        <v>1</v>
      </c>
      <c r="L39" s="19" t="b">
        <v>0</v>
      </c>
      <c r="M39" s="19" t="b">
        <v>1</v>
      </c>
      <c r="N39" s="19" t="b">
        <v>1</v>
      </c>
      <c r="O39" s="19" t="b">
        <v>0</v>
      </c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</row>
    <row r="40" ht="15.75" customHeight="1" outlineLevel="1">
      <c r="A40" s="19" t="b">
        <v>0</v>
      </c>
      <c r="B40" s="34" t="s">
        <v>762</v>
      </c>
      <c r="C40" s="35" t="s">
        <v>20</v>
      </c>
      <c r="D40" s="34" t="s">
        <v>21</v>
      </c>
      <c r="E40" s="34">
        <v>1.0</v>
      </c>
      <c r="F40" s="34">
        <v>1.0</v>
      </c>
      <c r="G40" s="34" t="s">
        <v>22</v>
      </c>
      <c r="H40" s="34" t="s">
        <v>23</v>
      </c>
      <c r="I40" s="34" t="s">
        <v>23</v>
      </c>
      <c r="J40" s="40" t="s">
        <v>763</v>
      </c>
      <c r="K40" s="19" t="b">
        <v>1</v>
      </c>
      <c r="L40" s="19" t="b">
        <v>0</v>
      </c>
      <c r="M40" s="19" t="b">
        <v>1</v>
      </c>
      <c r="N40" s="19" t="b">
        <v>1</v>
      </c>
      <c r="O40" s="19" t="b">
        <v>0</v>
      </c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</row>
    <row r="41" ht="15.75" customHeight="1" outlineLevel="1">
      <c r="A41" s="19" t="b">
        <v>0</v>
      </c>
      <c r="B41" s="34" t="s">
        <v>764</v>
      </c>
      <c r="C41" s="35" t="s">
        <v>20</v>
      </c>
      <c r="D41" s="34" t="s">
        <v>21</v>
      </c>
      <c r="E41" s="34">
        <v>3.5</v>
      </c>
      <c r="F41" s="34">
        <v>2.0</v>
      </c>
      <c r="G41" s="34" t="s">
        <v>665</v>
      </c>
      <c r="H41" s="34" t="s">
        <v>23</v>
      </c>
      <c r="I41" s="34" t="s">
        <v>23</v>
      </c>
      <c r="J41" s="149">
        <v>45931.0</v>
      </c>
      <c r="K41" s="19" t="b">
        <v>1</v>
      </c>
      <c r="L41" s="19" t="b">
        <v>1</v>
      </c>
      <c r="M41" s="19" t="b">
        <v>1</v>
      </c>
      <c r="N41" s="19" t="b">
        <v>1</v>
      </c>
      <c r="O41" s="19" t="b">
        <v>1</v>
      </c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</row>
    <row r="42" ht="15.75" customHeight="1" outlineLevel="1">
      <c r="A42" s="19" t="b">
        <v>0</v>
      </c>
      <c r="B42" s="34" t="s">
        <v>765</v>
      </c>
      <c r="C42" s="35" t="s">
        <v>20</v>
      </c>
      <c r="D42" s="34" t="s">
        <v>21</v>
      </c>
      <c r="E42" s="34">
        <v>2.0</v>
      </c>
      <c r="F42" s="34">
        <v>2.0</v>
      </c>
      <c r="G42" s="34" t="s">
        <v>558</v>
      </c>
      <c r="H42" s="34" t="s">
        <v>23</v>
      </c>
      <c r="I42" s="34" t="s">
        <v>23</v>
      </c>
      <c r="J42" s="48" t="s">
        <v>46</v>
      </c>
      <c r="K42" s="19" t="b">
        <v>0</v>
      </c>
      <c r="L42" s="19" t="b">
        <v>0</v>
      </c>
      <c r="M42" s="19" t="b">
        <v>0</v>
      </c>
      <c r="N42" s="19" t="b">
        <v>0</v>
      </c>
      <c r="O42" s="19" t="b">
        <v>0</v>
      </c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</row>
    <row r="43" ht="15.75" customHeight="1" outlineLevel="1">
      <c r="A43" s="19" t="b">
        <v>0</v>
      </c>
      <c r="B43" s="34" t="s">
        <v>766</v>
      </c>
      <c r="C43" s="35" t="s">
        <v>20</v>
      </c>
      <c r="D43" s="34" t="s">
        <v>21</v>
      </c>
      <c r="E43" s="34">
        <v>2.0</v>
      </c>
      <c r="F43" s="34">
        <v>2.0</v>
      </c>
      <c r="G43" s="34" t="s">
        <v>58</v>
      </c>
      <c r="H43" s="34" t="s">
        <v>23</v>
      </c>
      <c r="I43" s="34" t="s">
        <v>23</v>
      </c>
      <c r="J43" s="40" t="s">
        <v>767</v>
      </c>
      <c r="K43" s="19" t="b">
        <v>1</v>
      </c>
      <c r="L43" s="19" t="b">
        <v>1</v>
      </c>
      <c r="M43" s="19" t="b">
        <v>1</v>
      </c>
      <c r="N43" s="19" t="b">
        <v>1</v>
      </c>
      <c r="O43" s="19" t="b">
        <v>1</v>
      </c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</row>
    <row r="44" ht="15.75" customHeight="1" outlineLevel="1">
      <c r="A44" s="19" t="b">
        <v>0</v>
      </c>
      <c r="B44" s="34" t="s">
        <v>768</v>
      </c>
      <c r="C44" s="35" t="s">
        <v>20</v>
      </c>
      <c r="D44" s="34" t="s">
        <v>21</v>
      </c>
      <c r="E44" s="34">
        <v>1.0</v>
      </c>
      <c r="F44" s="34">
        <v>1.0</v>
      </c>
      <c r="G44" s="34" t="s">
        <v>22</v>
      </c>
      <c r="H44" s="34" t="s">
        <v>23</v>
      </c>
      <c r="I44" s="34" t="s">
        <v>23</v>
      </c>
      <c r="J44" s="152">
        <v>45912.0</v>
      </c>
      <c r="K44" s="19" t="b">
        <v>1</v>
      </c>
      <c r="L44" s="19" t="b">
        <v>0</v>
      </c>
      <c r="M44" s="19" t="b">
        <v>1</v>
      </c>
      <c r="N44" s="19" t="b">
        <v>1</v>
      </c>
      <c r="O44" s="19" t="b">
        <v>1</v>
      </c>
      <c r="P44" s="130" t="s">
        <v>51</v>
      </c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</row>
    <row r="45" ht="15.75" customHeight="1" outlineLevel="1">
      <c r="A45" s="19" t="b">
        <v>0</v>
      </c>
      <c r="B45" s="35" t="s">
        <v>769</v>
      </c>
      <c r="C45" s="35" t="s">
        <v>20</v>
      </c>
      <c r="D45" s="35" t="s">
        <v>21</v>
      </c>
      <c r="E45" s="35">
        <v>1.0</v>
      </c>
      <c r="F45" s="35">
        <v>1.0</v>
      </c>
      <c r="G45" s="35" t="s">
        <v>22</v>
      </c>
      <c r="H45" s="35" t="s">
        <v>23</v>
      </c>
      <c r="I45" s="35" t="s">
        <v>23</v>
      </c>
      <c r="J45" s="149">
        <v>45895.0</v>
      </c>
      <c r="K45" s="19" t="b">
        <v>1</v>
      </c>
      <c r="L45" s="19" t="b">
        <v>0</v>
      </c>
      <c r="M45" s="19" t="b">
        <v>1</v>
      </c>
      <c r="N45" s="19" t="b">
        <v>1</v>
      </c>
      <c r="O45" s="19" t="b">
        <v>0</v>
      </c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</row>
    <row r="46" ht="15.75" customHeight="1" outlineLevel="1">
      <c r="A46" s="19" t="b">
        <v>0</v>
      </c>
      <c r="B46" s="35" t="s">
        <v>770</v>
      </c>
      <c r="C46" s="35" t="s">
        <v>20</v>
      </c>
      <c r="D46" s="35" t="s">
        <v>21</v>
      </c>
      <c r="E46" s="35">
        <v>12.0</v>
      </c>
      <c r="F46" s="35">
        <v>2.0</v>
      </c>
      <c r="G46" s="35" t="s">
        <v>45</v>
      </c>
      <c r="H46" s="35" t="s">
        <v>31</v>
      </c>
      <c r="I46" s="35" t="s">
        <v>23</v>
      </c>
      <c r="J46" s="40" t="s">
        <v>771</v>
      </c>
      <c r="K46" s="19" t="b">
        <v>1</v>
      </c>
      <c r="L46" s="19" t="b">
        <v>1</v>
      </c>
      <c r="M46" s="19" t="b">
        <v>1</v>
      </c>
      <c r="N46" s="19" t="b">
        <v>1</v>
      </c>
      <c r="O46" s="19" t="b">
        <v>0</v>
      </c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</row>
    <row r="47" ht="15.75" customHeight="1" outlineLevel="1">
      <c r="A47" s="19" t="b">
        <v>0</v>
      </c>
      <c r="B47" s="35" t="s">
        <v>316</v>
      </c>
      <c r="C47" s="35" t="s">
        <v>20</v>
      </c>
      <c r="D47" s="35" t="s">
        <v>21</v>
      </c>
      <c r="E47" s="35">
        <v>16.0</v>
      </c>
      <c r="F47" s="35">
        <v>2.0</v>
      </c>
      <c r="G47" s="35" t="s">
        <v>772</v>
      </c>
      <c r="H47" s="35" t="s">
        <v>31</v>
      </c>
      <c r="I47" s="35" t="s">
        <v>31</v>
      </c>
      <c r="J47" s="40" t="s">
        <v>773</v>
      </c>
      <c r="K47" s="19" t="b">
        <v>1</v>
      </c>
      <c r="L47" s="19" t="b">
        <v>1</v>
      </c>
      <c r="M47" s="19" t="b">
        <v>1</v>
      </c>
      <c r="N47" s="19" t="b">
        <v>1</v>
      </c>
      <c r="O47" s="19" t="b">
        <v>1</v>
      </c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</row>
    <row r="48" ht="15.75" customHeight="1" outlineLevel="1">
      <c r="A48" s="19" t="b">
        <v>0</v>
      </c>
      <c r="B48" s="35" t="s">
        <v>774</v>
      </c>
      <c r="C48" s="35" t="s">
        <v>20</v>
      </c>
      <c r="D48" s="35" t="s">
        <v>21</v>
      </c>
      <c r="E48" s="35">
        <v>1.0</v>
      </c>
      <c r="F48" s="35">
        <v>1.0</v>
      </c>
      <c r="G48" s="35" t="s">
        <v>218</v>
      </c>
      <c r="H48" s="35" t="s">
        <v>23</v>
      </c>
      <c r="I48" s="35" t="s">
        <v>23</v>
      </c>
      <c r="J48" s="149">
        <v>45904.0</v>
      </c>
      <c r="K48" s="19" t="b">
        <v>1</v>
      </c>
      <c r="L48" s="19" t="b">
        <v>0</v>
      </c>
      <c r="M48" s="19" t="b">
        <v>1</v>
      </c>
      <c r="N48" s="19" t="b">
        <v>1</v>
      </c>
      <c r="O48" s="19" t="b">
        <v>0</v>
      </c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</row>
    <row r="49" ht="15.75" customHeight="1" outlineLevel="1">
      <c r="A49" s="19" t="b">
        <v>0</v>
      </c>
      <c r="B49" s="34" t="s">
        <v>498</v>
      </c>
      <c r="C49" s="35" t="s">
        <v>20</v>
      </c>
      <c r="D49" s="34" t="s">
        <v>21</v>
      </c>
      <c r="E49" s="34">
        <v>1.5</v>
      </c>
      <c r="F49" s="34">
        <v>1.0</v>
      </c>
      <c r="G49" s="34" t="s">
        <v>22</v>
      </c>
      <c r="H49" s="34" t="s">
        <v>23</v>
      </c>
      <c r="I49" s="34" t="s">
        <v>23</v>
      </c>
      <c r="J49" s="382" t="s">
        <v>499</v>
      </c>
      <c r="K49" s="19" t="b">
        <v>1</v>
      </c>
      <c r="L49" s="19" t="b">
        <v>0</v>
      </c>
      <c r="M49" s="19" t="b">
        <v>1</v>
      </c>
      <c r="N49" s="19" t="b">
        <v>1</v>
      </c>
      <c r="O49" s="19" t="b">
        <v>0</v>
      </c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</row>
    <row r="50" ht="15.75" customHeight="1" outlineLevel="1">
      <c r="A50" s="19" t="b">
        <v>0</v>
      </c>
      <c r="B50" s="34" t="s">
        <v>530</v>
      </c>
      <c r="C50" s="35" t="s">
        <v>20</v>
      </c>
      <c r="D50" s="34" t="s">
        <v>21</v>
      </c>
      <c r="E50" s="34">
        <v>2.5</v>
      </c>
      <c r="F50" s="34">
        <v>1.0</v>
      </c>
      <c r="G50" s="34" t="s">
        <v>34</v>
      </c>
      <c r="H50" s="34" t="s">
        <v>23</v>
      </c>
      <c r="I50" s="34" t="s">
        <v>23</v>
      </c>
      <c r="J50" s="40" t="s">
        <v>775</v>
      </c>
      <c r="K50" s="19" t="b">
        <v>1</v>
      </c>
      <c r="L50" s="19" t="b">
        <v>0</v>
      </c>
      <c r="M50" s="202" t="b">
        <v>1</v>
      </c>
      <c r="N50" s="202" t="b">
        <v>1</v>
      </c>
      <c r="O50" s="202" t="b">
        <v>0</v>
      </c>
      <c r="P50" s="383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</row>
    <row r="51" ht="15.75" customHeight="1" outlineLevel="1">
      <c r="A51" s="19" t="b">
        <v>0</v>
      </c>
      <c r="B51" s="34" t="s">
        <v>586</v>
      </c>
      <c r="C51" s="35" t="s">
        <v>195</v>
      </c>
      <c r="D51" s="34" t="s">
        <v>21</v>
      </c>
      <c r="E51" s="34">
        <v>0.5</v>
      </c>
      <c r="F51" s="34">
        <v>1.0</v>
      </c>
      <c r="G51" s="34" t="s">
        <v>34</v>
      </c>
      <c r="H51" s="34" t="s">
        <v>23</v>
      </c>
      <c r="I51" s="34" t="s">
        <v>23</v>
      </c>
      <c r="J51" s="40" t="s">
        <v>776</v>
      </c>
      <c r="K51" s="19" t="b">
        <v>1</v>
      </c>
      <c r="L51" s="19" t="b">
        <v>0</v>
      </c>
      <c r="M51" s="202" t="b">
        <v>1</v>
      </c>
      <c r="N51" s="202" t="b">
        <v>1</v>
      </c>
      <c r="O51" s="202" t="b">
        <v>0</v>
      </c>
      <c r="P51" s="383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</row>
    <row r="52" ht="15.75" customHeight="1" outlineLevel="1">
      <c r="A52" s="19" t="b">
        <v>0</v>
      </c>
      <c r="B52" s="34" t="s">
        <v>307</v>
      </c>
      <c r="C52" s="35" t="s">
        <v>20</v>
      </c>
      <c r="D52" s="34" t="s">
        <v>156</v>
      </c>
      <c r="E52" s="34">
        <v>1.0</v>
      </c>
      <c r="F52" s="34">
        <v>1.0</v>
      </c>
      <c r="G52" s="34" t="s">
        <v>27</v>
      </c>
      <c r="H52" s="34" t="s">
        <v>31</v>
      </c>
      <c r="I52" s="34" t="s">
        <v>31</v>
      </c>
      <c r="J52" s="149">
        <v>45922.0</v>
      </c>
      <c r="K52" s="19" t="b">
        <v>1</v>
      </c>
      <c r="L52" s="19" t="b">
        <v>0</v>
      </c>
      <c r="M52" s="202" t="b">
        <v>0</v>
      </c>
      <c r="N52" s="202" t="b">
        <v>0</v>
      </c>
      <c r="O52" s="202" t="b">
        <v>0</v>
      </c>
      <c r="P52" s="383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</row>
    <row r="53" ht="15.75" customHeight="1" outlineLevel="1">
      <c r="A53" s="19" t="b">
        <v>0</v>
      </c>
      <c r="B53" s="34" t="s">
        <v>532</v>
      </c>
      <c r="C53" s="35" t="s">
        <v>20</v>
      </c>
      <c r="D53" s="34" t="s">
        <v>21</v>
      </c>
      <c r="E53" s="34">
        <v>2.0</v>
      </c>
      <c r="F53" s="34">
        <v>1.0</v>
      </c>
      <c r="G53" s="34" t="s">
        <v>533</v>
      </c>
      <c r="H53" s="34" t="s">
        <v>23</v>
      </c>
      <c r="I53" s="34" t="s">
        <v>23</v>
      </c>
      <c r="J53" s="149">
        <v>45929.0</v>
      </c>
      <c r="K53" s="19" t="b">
        <v>1</v>
      </c>
      <c r="L53" s="19" t="b">
        <v>0</v>
      </c>
      <c r="M53" s="202" t="b">
        <v>1</v>
      </c>
      <c r="N53" s="202" t="b">
        <v>1</v>
      </c>
      <c r="O53" s="202" t="b">
        <v>0</v>
      </c>
      <c r="P53" s="383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</row>
    <row r="54" ht="15.75" customHeight="1" outlineLevel="1">
      <c r="A54" s="19" t="b">
        <v>1</v>
      </c>
      <c r="B54" s="34" t="s">
        <v>498</v>
      </c>
      <c r="C54" s="35" t="s">
        <v>20</v>
      </c>
      <c r="D54" s="34" t="s">
        <v>21</v>
      </c>
      <c r="E54" s="34">
        <v>1.5</v>
      </c>
      <c r="F54" s="34">
        <v>1.0</v>
      </c>
      <c r="G54" s="34" t="s">
        <v>22</v>
      </c>
      <c r="H54" s="34" t="s">
        <v>23</v>
      </c>
      <c r="I54" s="34" t="s">
        <v>23</v>
      </c>
      <c r="J54" s="382" t="s">
        <v>499</v>
      </c>
      <c r="K54" s="19" t="b">
        <v>1</v>
      </c>
      <c r="L54" s="19" t="b">
        <v>0</v>
      </c>
      <c r="M54" s="19" t="b">
        <v>1</v>
      </c>
      <c r="N54" s="19" t="b">
        <v>1</v>
      </c>
      <c r="O54" s="19" t="b">
        <v>0</v>
      </c>
      <c r="P54" s="383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</row>
    <row r="55" ht="15.75" customHeight="1" outlineLevel="1">
      <c r="A55" s="19" t="b">
        <v>1</v>
      </c>
      <c r="B55" s="34" t="s">
        <v>316</v>
      </c>
      <c r="C55" s="35" t="s">
        <v>20</v>
      </c>
      <c r="D55" s="35" t="s">
        <v>102</v>
      </c>
      <c r="E55" s="35">
        <v>11.5</v>
      </c>
      <c r="F55" s="34">
        <v>2.0</v>
      </c>
      <c r="G55" s="34" t="s">
        <v>30</v>
      </c>
      <c r="H55" s="34" t="s">
        <v>31</v>
      </c>
      <c r="I55" s="34" t="s">
        <v>31</v>
      </c>
      <c r="J55" s="40" t="s">
        <v>317</v>
      </c>
      <c r="K55" s="19" t="b">
        <v>1</v>
      </c>
      <c r="L55" s="19" t="b">
        <v>1</v>
      </c>
      <c r="M55" s="19" t="b">
        <v>1</v>
      </c>
      <c r="N55" s="19" t="b">
        <v>1</v>
      </c>
      <c r="O55" s="202" t="b">
        <v>1</v>
      </c>
      <c r="P55" s="383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</row>
    <row r="56" ht="15.75" customHeight="1" outlineLevel="1">
      <c r="A56" s="19" t="b">
        <v>0</v>
      </c>
      <c r="B56" s="35" t="s">
        <v>777</v>
      </c>
      <c r="C56" s="35" t="s">
        <v>167</v>
      </c>
      <c r="D56" s="34" t="s">
        <v>21</v>
      </c>
      <c r="E56" s="34">
        <v>2.0</v>
      </c>
      <c r="F56" s="34">
        <v>1.0</v>
      </c>
      <c r="G56" s="35" t="s">
        <v>778</v>
      </c>
      <c r="H56" s="34" t="s">
        <v>23</v>
      </c>
      <c r="I56" s="34" t="s">
        <v>23</v>
      </c>
      <c r="J56" s="40" t="s">
        <v>51</v>
      </c>
      <c r="K56" s="155"/>
      <c r="L56" s="155"/>
      <c r="M56" s="155"/>
      <c r="N56" s="155"/>
      <c r="O56" s="155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</row>
    <row r="57" ht="15.75" customHeight="1" outlineLevel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155"/>
      <c r="L57" s="155"/>
      <c r="M57" s="155"/>
      <c r="N57" s="155"/>
      <c r="O57" s="155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</row>
    <row r="58" ht="15.75" customHeight="1" outlineLevel="1">
      <c r="A58" s="34"/>
      <c r="B58" s="34"/>
      <c r="C58" s="34"/>
      <c r="D58" s="34"/>
      <c r="E58" s="34">
        <f>SUM(E2:E56)</f>
        <v>263.5</v>
      </c>
      <c r="F58" s="34"/>
      <c r="G58" s="34"/>
      <c r="H58" s="34"/>
      <c r="I58" s="34"/>
      <c r="J58" s="34"/>
      <c r="K58" s="155"/>
      <c r="L58" s="155"/>
      <c r="M58" s="155"/>
      <c r="N58" s="155"/>
      <c r="O58" s="155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</row>
    <row r="59" ht="15.75" customHeight="1" outlineLevel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155"/>
      <c r="L59" s="155"/>
      <c r="M59" s="155"/>
      <c r="N59" s="155"/>
      <c r="O59" s="155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</row>
    <row r="60" ht="15.75" customHeight="1" outlineLevel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155"/>
      <c r="L60" s="155"/>
      <c r="M60" s="155"/>
      <c r="N60" s="155"/>
      <c r="O60" s="155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</row>
    <row r="61" ht="15.75" customHeight="1" outlineLevel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155"/>
      <c r="L61" s="155"/>
      <c r="M61" s="155"/>
      <c r="N61" s="155"/>
      <c r="O61" s="155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</row>
    <row r="62" ht="15.75" customHeight="1" outlineLevel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155"/>
      <c r="L62" s="155"/>
      <c r="M62" s="155"/>
      <c r="N62" s="155"/>
      <c r="O62" s="155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</row>
    <row r="63" ht="15.75" customHeight="1" outlineLevel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155"/>
      <c r="L63" s="155"/>
      <c r="M63" s="155"/>
      <c r="N63" s="155"/>
      <c r="O63" s="155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</row>
    <row r="64" ht="15.75" customHeight="1" outlineLevel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155"/>
      <c r="L64" s="155"/>
      <c r="M64" s="155"/>
      <c r="N64" s="155"/>
      <c r="O64" s="155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</row>
    <row r="65" ht="15.75" customHeight="1" outlineLevel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155"/>
      <c r="L65" s="155"/>
      <c r="M65" s="155"/>
      <c r="N65" s="155"/>
      <c r="O65" s="155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</row>
    <row r="66" ht="15.75" customHeight="1" outlineLevel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155"/>
      <c r="L66" s="155"/>
      <c r="M66" s="155"/>
      <c r="N66" s="155"/>
      <c r="O66" s="155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</row>
    <row r="67" ht="15.75" customHeight="1" outlineLevel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155"/>
      <c r="L67" s="155"/>
      <c r="M67" s="155"/>
      <c r="N67" s="155"/>
      <c r="O67" s="155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</row>
    <row r="68" ht="15.75" customHeight="1" outlineLevel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155"/>
      <c r="L68" s="155"/>
      <c r="M68" s="155"/>
      <c r="N68" s="155"/>
      <c r="O68" s="155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</row>
    <row r="69" ht="15.75" customHeight="1" outlineLevel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155"/>
      <c r="L69" s="155"/>
      <c r="M69" s="155"/>
      <c r="N69" s="155"/>
      <c r="O69" s="155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</row>
    <row r="70" ht="15.75" customHeight="1" outlineLevel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155"/>
      <c r="L70" s="155"/>
      <c r="M70" s="155"/>
      <c r="N70" s="155"/>
      <c r="O70" s="155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</row>
    <row r="71" ht="15.75" customHeight="1" outlineLevel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155"/>
      <c r="L71" s="155"/>
      <c r="M71" s="155"/>
      <c r="N71" s="155"/>
      <c r="O71" s="155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</row>
    <row r="72" ht="15.75" customHeight="1" outlineLevel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155"/>
      <c r="L72" s="155"/>
      <c r="M72" s="155"/>
      <c r="N72" s="155"/>
      <c r="O72" s="155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</row>
    <row r="73" ht="15.75" customHeight="1" outlineLevel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155"/>
      <c r="L73" s="155"/>
      <c r="M73" s="155"/>
      <c r="N73" s="155"/>
      <c r="O73" s="155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</row>
    <row r="74" ht="15.75" customHeight="1" outlineLevel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155"/>
      <c r="L74" s="155"/>
      <c r="M74" s="155"/>
      <c r="N74" s="155"/>
      <c r="O74" s="155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</row>
    <row r="75" ht="15.75" customHeight="1" outlineLevel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155"/>
      <c r="L75" s="155"/>
      <c r="M75" s="155"/>
      <c r="N75" s="155"/>
      <c r="O75" s="155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</row>
    <row r="76" ht="15.75" customHeight="1" outlineLevel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155"/>
      <c r="L76" s="155"/>
      <c r="M76" s="155"/>
      <c r="N76" s="155"/>
      <c r="O76" s="155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</row>
    <row r="77" ht="15.75" customHeight="1" outlineLevel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155"/>
      <c r="L77" s="155"/>
      <c r="M77" s="155"/>
      <c r="N77" s="155"/>
      <c r="O77" s="155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</row>
    <row r="78" ht="15.75" customHeight="1" outlineLevel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155"/>
      <c r="L78" s="155"/>
      <c r="M78" s="155"/>
      <c r="N78" s="155"/>
      <c r="O78" s="155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</row>
    <row r="79" ht="15.75" customHeight="1" outlineLevel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155"/>
      <c r="L79" s="155"/>
      <c r="M79" s="155"/>
      <c r="N79" s="155"/>
      <c r="O79" s="155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</row>
    <row r="80" ht="15.75" customHeight="1" outlineLevel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155"/>
      <c r="L80" s="155"/>
      <c r="M80" s="155"/>
      <c r="N80" s="155"/>
      <c r="O80" s="155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</row>
    <row r="81" ht="15.75" customHeight="1" outlineLevel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155"/>
      <c r="L81" s="155"/>
      <c r="M81" s="155"/>
      <c r="N81" s="155"/>
      <c r="O81" s="155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</row>
    <row r="82" ht="15.75" customHeight="1" outlineLevel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155"/>
      <c r="L82" s="155"/>
      <c r="M82" s="155"/>
      <c r="N82" s="155"/>
      <c r="O82" s="155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</row>
    <row r="83" ht="15.75" customHeight="1" outlineLevel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155"/>
      <c r="L83" s="155"/>
      <c r="M83" s="155"/>
      <c r="N83" s="155"/>
      <c r="O83" s="155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</row>
    <row r="84" ht="15.75" customHeight="1" outlineLevel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155"/>
      <c r="L84" s="155"/>
      <c r="M84" s="155"/>
      <c r="N84" s="155"/>
      <c r="O84" s="155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</row>
    <row r="85" ht="15.75" customHeight="1" outlineLevel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155"/>
      <c r="L85" s="155"/>
      <c r="M85" s="155"/>
      <c r="N85" s="155"/>
      <c r="O85" s="155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</row>
    <row r="86" ht="15.75" customHeight="1" outlineLevel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155"/>
      <c r="L86" s="155"/>
      <c r="M86" s="155"/>
      <c r="N86" s="155"/>
      <c r="O86" s="155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</row>
    <row r="87" ht="15.75" customHeight="1" outlineLevel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155"/>
      <c r="L87" s="155"/>
      <c r="M87" s="155"/>
      <c r="N87" s="155"/>
      <c r="O87" s="155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</row>
    <row r="88" ht="15.75" customHeight="1" outlineLevel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155"/>
      <c r="L88" s="155"/>
      <c r="M88" s="155"/>
      <c r="N88" s="155"/>
      <c r="O88" s="155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</row>
    <row r="89" ht="15.75" customHeight="1" outlineLevel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155"/>
      <c r="L89" s="155"/>
      <c r="M89" s="155"/>
      <c r="N89" s="155"/>
      <c r="O89" s="155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</row>
    <row r="90" ht="15.75" customHeight="1" outlineLevel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155"/>
      <c r="L90" s="155"/>
      <c r="M90" s="155"/>
      <c r="N90" s="155"/>
      <c r="O90" s="155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</row>
    <row r="91" ht="15.75" customHeight="1" outlineLevel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155"/>
      <c r="L91" s="155"/>
      <c r="M91" s="155"/>
      <c r="N91" s="155"/>
      <c r="O91" s="155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</row>
    <row r="92" ht="15.75" customHeight="1" outlineLevel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155"/>
      <c r="L92" s="155"/>
      <c r="M92" s="155"/>
      <c r="N92" s="155"/>
      <c r="O92" s="155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</row>
    <row r="93" ht="15.75" customHeight="1" outlineLevel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155"/>
      <c r="L93" s="155"/>
      <c r="M93" s="155"/>
      <c r="N93" s="155"/>
      <c r="O93" s="155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</row>
    <row r="94" ht="15.75" customHeight="1" outlineLevel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155"/>
      <c r="L94" s="155"/>
      <c r="M94" s="155"/>
      <c r="N94" s="155"/>
      <c r="O94" s="155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</row>
    <row r="95" ht="15.75" customHeight="1" outlineLevel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155"/>
      <c r="L95" s="155"/>
      <c r="M95" s="155"/>
      <c r="N95" s="155"/>
      <c r="O95" s="155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</row>
    <row r="96" ht="15.75" customHeight="1" outlineLevel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155"/>
      <c r="L96" s="155"/>
      <c r="M96" s="155"/>
      <c r="N96" s="155"/>
      <c r="O96" s="155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</row>
    <row r="97" ht="15.75" customHeight="1" outlineLevel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155"/>
      <c r="L97" s="155"/>
      <c r="M97" s="155"/>
      <c r="N97" s="155"/>
      <c r="O97" s="155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</row>
    <row r="98" ht="15.75" customHeight="1">
      <c r="A98" s="117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</row>
    <row r="99" ht="15.75" customHeight="1">
      <c r="A99" s="117"/>
      <c r="B99" s="118"/>
      <c r="N99" s="118"/>
      <c r="Y99" s="118"/>
      <c r="Z99" s="118"/>
      <c r="AA99" s="118"/>
      <c r="AB99" s="118"/>
      <c r="AC99" s="118"/>
      <c r="AD99" s="118"/>
      <c r="AE99" s="118"/>
      <c r="AF99" s="118"/>
      <c r="AG99" s="118"/>
    </row>
    <row r="100" ht="15.75" customHeight="1">
      <c r="A100" s="117"/>
      <c r="B100" s="118"/>
      <c r="Y100" s="118"/>
      <c r="Z100" s="118"/>
      <c r="AA100" s="118"/>
      <c r="AB100" s="118"/>
      <c r="AC100" s="118"/>
      <c r="AD100" s="118"/>
      <c r="AE100" s="118"/>
      <c r="AF100" s="118"/>
      <c r="AG100" s="118"/>
    </row>
    <row r="101" ht="15.75" customHeight="1">
      <c r="A101" s="118"/>
      <c r="B101" s="118"/>
      <c r="Y101" s="118"/>
      <c r="Z101" s="118"/>
      <c r="AA101" s="118"/>
      <c r="AB101" s="118"/>
      <c r="AC101" s="118"/>
      <c r="AD101" s="118"/>
      <c r="AE101" s="118"/>
      <c r="AF101" s="118"/>
      <c r="AG101" s="118"/>
    </row>
    <row r="102" ht="15.75" customHeight="1">
      <c r="A102" s="118"/>
      <c r="B102" s="118"/>
      <c r="Y102" s="118"/>
      <c r="Z102" s="118"/>
      <c r="AA102" s="118"/>
      <c r="AB102" s="118"/>
      <c r="AC102" s="118"/>
      <c r="AD102" s="118"/>
      <c r="AE102" s="118"/>
      <c r="AF102" s="118"/>
      <c r="AG102" s="118"/>
    </row>
    <row r="103" ht="15.75" customHeight="1">
      <c r="A103" s="118"/>
      <c r="B103" s="118"/>
      <c r="Y103" s="118"/>
      <c r="Z103" s="118"/>
      <c r="AA103" s="118"/>
      <c r="AB103" s="118"/>
      <c r="AC103" s="118"/>
      <c r="AD103" s="118"/>
      <c r="AE103" s="118"/>
      <c r="AF103" s="118"/>
      <c r="AG103" s="118"/>
    </row>
    <row r="104" ht="15.75" customHeight="1">
      <c r="A104" s="118"/>
      <c r="B104" s="118"/>
      <c r="Y104" s="118"/>
      <c r="Z104" s="118"/>
      <c r="AA104" s="118"/>
      <c r="AB104" s="118"/>
      <c r="AC104" s="118"/>
      <c r="AD104" s="118"/>
      <c r="AE104" s="118"/>
      <c r="AF104" s="118"/>
      <c r="AG104" s="118"/>
    </row>
    <row r="105" ht="15.75" customHeight="1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</row>
    <row r="106" ht="15.7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</row>
    <row r="107" ht="15.7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</row>
    <row r="108" ht="15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</row>
    <row r="109" ht="15.7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</row>
    <row r="110" ht="15.7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</row>
    <row r="111" ht="15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</row>
    <row r="112" ht="15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</row>
    <row r="113" ht="15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</row>
    <row r="114" ht="15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</row>
    <row r="115" ht="15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</row>
    <row r="116" ht="15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</row>
    <row r="117" ht="15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</row>
    <row r="118" ht="15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</row>
    <row r="119" ht="15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</row>
    <row r="120" ht="15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</row>
    <row r="121" ht="15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</row>
    <row r="122" ht="15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</row>
    <row r="123" ht="15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</row>
    <row r="124" ht="15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</row>
    <row r="125" ht="15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</row>
    <row r="126" ht="15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</row>
    <row r="127" ht="15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</row>
    <row r="128" ht="15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</row>
    <row r="129" ht="15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</row>
    <row r="130" ht="15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</row>
    <row r="131" ht="15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</row>
    <row r="132" ht="15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</row>
    <row r="133" ht="15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</row>
    <row r="134" ht="15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</row>
    <row r="135" ht="15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</row>
    <row r="136" ht="15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</row>
    <row r="137" ht="15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</row>
    <row r="138" ht="15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</row>
    <row r="139" ht="15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</row>
    <row r="140" ht="15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</row>
    <row r="141" ht="15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</row>
    <row r="142" ht="15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</row>
    <row r="143" ht="15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</row>
    <row r="144" ht="15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</row>
    <row r="145" ht="15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</row>
    <row r="146" ht="15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</row>
    <row r="147" ht="15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</row>
    <row r="148" ht="15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</row>
    <row r="149" ht="15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</row>
    <row r="150" ht="15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</row>
    <row r="151" ht="15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</row>
    <row r="152" ht="15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</row>
    <row r="153" ht="15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</row>
    <row r="154" ht="15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</row>
    <row r="155" ht="15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</row>
    <row r="156" ht="15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</row>
    <row r="157" ht="15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</row>
    <row r="158" ht="15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</row>
    <row r="159" ht="15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</row>
    <row r="160" ht="15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</row>
    <row r="161" ht="15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</row>
    <row r="162" ht="15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</row>
    <row r="163" ht="15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</row>
    <row r="164" ht="15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</row>
    <row r="165" ht="15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</row>
    <row r="166" ht="15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</row>
    <row r="167" ht="15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</row>
    <row r="168" ht="15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</row>
    <row r="169" ht="15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</row>
    <row r="170" ht="15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</row>
    <row r="171" ht="15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</row>
    <row r="172" ht="15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</row>
    <row r="173" ht="15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</row>
    <row r="174" ht="15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</row>
    <row r="175" ht="15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</row>
    <row r="176" ht="15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</row>
    <row r="177" ht="15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</row>
    <row r="178" ht="15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</row>
    <row r="179" ht="15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</row>
    <row r="180" ht="15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</row>
    <row r="181" ht="15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</row>
    <row r="182" ht="15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</row>
    <row r="183" ht="15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</row>
    <row r="184" ht="15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</row>
    <row r="185" ht="15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</row>
    <row r="186" ht="15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</row>
    <row r="187" ht="15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</row>
    <row r="188" ht="15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</row>
    <row r="189" ht="15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</row>
    <row r="190" ht="15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</row>
    <row r="191" ht="15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</row>
    <row r="192" ht="15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</row>
    <row r="193" ht="15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</row>
    <row r="194" ht="15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</row>
    <row r="195" ht="15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</row>
    <row r="196" ht="15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</row>
    <row r="197" ht="15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</row>
    <row r="198" ht="15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</row>
    <row r="199" ht="15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</row>
    <row r="200" ht="15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</row>
    <row r="201" ht="15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</row>
    <row r="202" ht="15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</row>
    <row r="203" ht="15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</row>
    <row r="204" ht="15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</row>
    <row r="205" ht="15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</row>
    <row r="206" ht="15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</row>
    <row r="207" ht="15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</row>
    <row r="208" ht="15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</row>
    <row r="209" ht="15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</row>
    <row r="210" ht="15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</row>
    <row r="211" ht="15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</row>
    <row r="212" ht="15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</row>
    <row r="213" ht="15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</row>
    <row r="214" ht="15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</row>
    <row r="215" ht="15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</row>
    <row r="216" ht="15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</row>
    <row r="217" ht="15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</row>
    <row r="218" ht="15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</row>
    <row r="219" ht="15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</row>
    <row r="220" ht="15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</row>
    <row r="221" ht="15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</row>
    <row r="222" ht="15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</row>
    <row r="223" ht="15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</row>
    <row r="224" ht="15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</row>
    <row r="225" ht="15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</row>
    <row r="226" ht="15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</row>
    <row r="227" ht="15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</row>
    <row r="228" ht="15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</row>
    <row r="229" ht="15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</row>
    <row r="230" ht="15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</row>
    <row r="231" ht="15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</row>
    <row r="232" ht="15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</row>
    <row r="233" ht="15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</row>
    <row r="234" ht="15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</row>
    <row r="235" ht="15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</row>
    <row r="236" ht="15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</row>
    <row r="237" ht="15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</row>
    <row r="238" ht="15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</row>
    <row r="239" ht="15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</row>
    <row r="240" ht="15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</row>
    <row r="241" ht="15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</row>
    <row r="242" ht="15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</row>
    <row r="243" ht="15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</row>
    <row r="244" ht="15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</row>
    <row r="245" ht="15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</row>
    <row r="246" ht="15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</row>
    <row r="247" ht="15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</row>
    <row r="248" ht="15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</row>
    <row r="249" ht="15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</row>
    <row r="250" ht="15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</row>
    <row r="251" ht="15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</row>
    <row r="252" ht="15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</row>
    <row r="253" ht="15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</row>
    <row r="254" ht="15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</row>
    <row r="255" ht="15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</row>
    <row r="256" ht="15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</row>
    <row r="257" ht="15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</row>
    <row r="258" ht="15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</row>
    <row r="259" ht="15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</row>
    <row r="260" ht="15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</row>
    <row r="261" ht="15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</row>
    <row r="262" ht="15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</row>
    <row r="263" ht="15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</row>
    <row r="264" ht="15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</row>
    <row r="265" ht="15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</row>
    <row r="266" ht="15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</row>
    <row r="267" ht="15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</row>
    <row r="268" ht="15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</row>
    <row r="269" ht="15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</row>
    <row r="270" ht="15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</row>
    <row r="271" ht="15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</row>
    <row r="272" ht="15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</row>
    <row r="273" ht="15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</row>
    <row r="274" ht="15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</row>
    <row r="275" ht="15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</row>
    <row r="276" ht="15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</row>
    <row r="277" ht="15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</row>
    <row r="278" ht="15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</row>
    <row r="279" ht="15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</row>
    <row r="280" ht="15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</row>
    <row r="281" ht="15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</row>
    <row r="282" ht="15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</row>
    <row r="283" ht="15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</row>
    <row r="284" ht="15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</row>
    <row r="285" ht="15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</row>
    <row r="286" ht="15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</row>
    <row r="287" ht="15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</row>
    <row r="288" ht="15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</row>
    <row r="289" ht="15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</row>
    <row r="290" ht="15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</row>
    <row r="291" ht="15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</row>
    <row r="292" ht="15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</row>
    <row r="293" ht="15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</row>
    <row r="294" ht="15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</row>
    <row r="295" ht="15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</row>
    <row r="296" ht="15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</row>
    <row r="297" ht="15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</row>
    <row r="298" ht="15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</row>
    <row r="299" ht="15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</row>
    <row r="300" ht="15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</row>
    <row r="301" ht="15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</row>
    <row r="302" ht="15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</row>
    <row r="303" ht="15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</row>
    <row r="304" ht="15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</row>
    <row r="305" ht="15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</row>
    <row r="306" ht="15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</row>
    <row r="307" ht="15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</row>
    <row r="308" ht="15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</row>
    <row r="309" ht="15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</row>
    <row r="310" ht="15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</row>
    <row r="311" ht="15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</row>
    <row r="312" ht="15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</row>
    <row r="313" ht="15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</row>
    <row r="314" ht="15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</row>
    <row r="315" ht="15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</row>
    <row r="316" ht="15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</row>
    <row r="317" ht="15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</row>
    <row r="318" ht="15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</row>
    <row r="319" ht="15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</row>
    <row r="320" ht="15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</row>
    <row r="321" ht="15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</row>
    <row r="322" ht="15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</row>
    <row r="323" ht="15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</row>
    <row r="324" ht="15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</row>
    <row r="325" ht="15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</row>
    <row r="326" ht="15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</row>
    <row r="327" ht="15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</row>
    <row r="328" ht="15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</row>
    <row r="329" ht="15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</row>
    <row r="330" ht="15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</row>
    <row r="331" ht="15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</row>
    <row r="332" ht="15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</row>
    <row r="333" ht="15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</row>
    <row r="334" ht="15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</row>
    <row r="335" ht="15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</row>
    <row r="336" ht="15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</row>
    <row r="337" ht="15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</row>
    <row r="338" ht="15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</row>
    <row r="339" ht="15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</row>
    <row r="340" ht="15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</row>
    <row r="341" ht="15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</row>
    <row r="342" ht="15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</row>
    <row r="343" ht="15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</row>
    <row r="344" ht="15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</row>
    <row r="345" ht="15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</row>
    <row r="346" ht="15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</row>
    <row r="347" ht="15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</row>
    <row r="348" ht="15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</row>
    <row r="349" ht="15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</row>
    <row r="350" ht="15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</row>
    <row r="351" ht="15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</row>
    <row r="352" ht="15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</row>
    <row r="353" ht="15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</row>
    <row r="354" ht="15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</row>
    <row r="355" ht="15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</row>
    <row r="356" ht="15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</row>
    <row r="357" ht="15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</row>
    <row r="358" ht="15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</row>
    <row r="359" ht="15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</row>
    <row r="360" ht="15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</row>
    <row r="361" ht="15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</row>
    <row r="362" ht="15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</row>
    <row r="363" ht="15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</row>
    <row r="364" ht="15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</row>
    <row r="365" ht="15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</row>
    <row r="366" ht="15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</row>
    <row r="367" ht="15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</row>
    <row r="368" ht="15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</row>
    <row r="369" ht="15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</row>
    <row r="370" ht="15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</row>
    <row r="371" ht="15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</row>
    <row r="372" ht="15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</row>
    <row r="373" ht="15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</row>
    <row r="374" ht="15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</row>
    <row r="375" ht="15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</row>
    <row r="376" ht="15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</row>
    <row r="377" ht="15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</row>
    <row r="378" ht="15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</row>
    <row r="379" ht="15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</row>
    <row r="380" ht="15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</row>
    <row r="381" ht="15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</row>
    <row r="382" ht="15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</row>
    <row r="383" ht="15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</row>
    <row r="384" ht="15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</row>
    <row r="385" ht="15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</row>
    <row r="386" ht="15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</row>
    <row r="387" ht="15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</row>
    <row r="388" ht="15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</row>
    <row r="389" ht="15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</row>
    <row r="390" ht="15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</row>
    <row r="391" ht="15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</row>
    <row r="392" ht="15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</row>
    <row r="393" ht="15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</row>
    <row r="394" ht="15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</row>
    <row r="395" ht="15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</row>
    <row r="396" ht="15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</row>
    <row r="397" ht="15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</row>
    <row r="398" ht="15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</row>
    <row r="399" ht="15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</row>
    <row r="400" ht="15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</row>
    <row r="401" ht="15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</row>
    <row r="402" ht="15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</row>
    <row r="403" ht="15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</row>
    <row r="404" ht="15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</row>
    <row r="405" ht="15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</row>
    <row r="406" ht="15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</row>
    <row r="407" ht="15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</row>
    <row r="408" ht="15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</row>
    <row r="409" ht="15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</row>
    <row r="410" ht="15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</row>
    <row r="411" ht="15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</row>
    <row r="412" ht="15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</row>
    <row r="413" ht="15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</row>
    <row r="414" ht="15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</row>
    <row r="415" ht="15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</row>
    <row r="416" ht="15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</row>
    <row r="417" ht="15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</row>
    <row r="418" ht="15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</row>
    <row r="419" ht="15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</row>
    <row r="420" ht="15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</row>
    <row r="421" ht="15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</row>
    <row r="422" ht="15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</row>
    <row r="423" ht="15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</row>
    <row r="424" ht="15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</row>
    <row r="425" ht="15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</row>
    <row r="426" ht="15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</row>
    <row r="427" ht="15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</row>
    <row r="428" ht="15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</row>
    <row r="429" ht="15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</row>
    <row r="430" ht="15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</row>
    <row r="431" ht="15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</row>
    <row r="432" ht="15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</row>
    <row r="433" ht="15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</row>
    <row r="434" ht="15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</row>
    <row r="435" ht="15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</row>
    <row r="436" ht="15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</row>
    <row r="437" ht="15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</row>
    <row r="438" ht="15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</row>
    <row r="439" ht="15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</row>
    <row r="440" ht="15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</row>
    <row r="441" ht="15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</row>
    <row r="442" ht="15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</row>
    <row r="443" ht="15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</row>
    <row r="444" ht="15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</row>
    <row r="445" ht="15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</row>
    <row r="446" ht="15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</row>
    <row r="447" ht="15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</row>
    <row r="448" ht="15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</row>
    <row r="449" ht="15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</row>
    <row r="450" ht="15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</row>
    <row r="451" ht="15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</row>
    <row r="452" ht="15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</row>
    <row r="453" ht="15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</row>
    <row r="454" ht="15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</row>
    <row r="455" ht="15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</row>
    <row r="456" ht="15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</row>
    <row r="457" ht="15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</row>
    <row r="458" ht="15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</row>
    <row r="459" ht="15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</row>
    <row r="460" ht="15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</row>
    <row r="461" ht="15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</row>
    <row r="462" ht="15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</row>
    <row r="463" ht="15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</row>
    <row r="464" ht="15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</row>
    <row r="465" ht="15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</row>
    <row r="466" ht="15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</row>
    <row r="467" ht="15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</row>
    <row r="468" ht="15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</row>
    <row r="469" ht="15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</row>
    <row r="470" ht="15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</row>
    <row r="471" ht="15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</row>
    <row r="472" ht="15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</row>
    <row r="473" ht="15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</row>
    <row r="474" ht="15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</row>
    <row r="475" ht="15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</row>
    <row r="476" ht="15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</row>
    <row r="477" ht="15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</row>
    <row r="478" ht="15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</row>
    <row r="479" ht="15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</row>
    <row r="480" ht="15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</row>
    <row r="481" ht="15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</row>
    <row r="482" ht="15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</row>
    <row r="483" ht="15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</row>
    <row r="484" ht="15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</row>
    <row r="485" ht="15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</row>
    <row r="486" ht="15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</row>
    <row r="487" ht="15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</row>
    <row r="488" ht="15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</row>
    <row r="489" ht="15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</row>
    <row r="490" ht="15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</row>
    <row r="491" ht="15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</row>
    <row r="492" ht="15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</row>
    <row r="493" ht="15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</row>
    <row r="494" ht="15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</row>
    <row r="495" ht="15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</row>
    <row r="496" ht="15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</row>
    <row r="497" ht="15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</row>
    <row r="498" ht="15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</row>
    <row r="499" ht="15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</row>
    <row r="500" ht="15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</row>
    <row r="501" ht="15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</row>
    <row r="502" ht="15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</row>
    <row r="503" ht="15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</row>
    <row r="504" ht="15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</row>
    <row r="505" ht="15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</row>
    <row r="506" ht="15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</row>
    <row r="507" ht="15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</row>
    <row r="508" ht="15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</row>
    <row r="509" ht="15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</row>
    <row r="510" ht="15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</row>
    <row r="511" ht="15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</row>
    <row r="512" ht="15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</row>
    <row r="513" ht="15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</row>
    <row r="514" ht="15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</row>
    <row r="515" ht="15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</row>
    <row r="516" ht="15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</row>
    <row r="517" ht="15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</row>
    <row r="518" ht="15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</row>
    <row r="519" ht="15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</row>
    <row r="520" ht="15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</row>
    <row r="521" ht="15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</row>
    <row r="522" ht="15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</row>
    <row r="523" ht="15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</row>
    <row r="524" ht="15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</row>
    <row r="525" ht="15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</row>
    <row r="526" ht="15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</row>
    <row r="527" ht="15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</row>
    <row r="528" ht="15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</row>
    <row r="529" ht="15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</row>
    <row r="530" ht="15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</row>
    <row r="531" ht="15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</row>
    <row r="532" ht="15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</row>
    <row r="533" ht="15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</row>
    <row r="534" ht="15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</row>
    <row r="535" ht="15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</row>
    <row r="536" ht="15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</row>
    <row r="537" ht="15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</row>
    <row r="538" ht="15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</row>
    <row r="539" ht="15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</row>
    <row r="540" ht="15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</row>
    <row r="541" ht="15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</row>
    <row r="542" ht="15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</row>
    <row r="543" ht="15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</row>
    <row r="544" ht="15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</row>
    <row r="545" ht="15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</row>
    <row r="546" ht="15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</row>
    <row r="547" ht="15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</row>
    <row r="548" ht="15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</row>
    <row r="549" ht="15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</row>
    <row r="550" ht="15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</row>
    <row r="551" ht="15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</row>
    <row r="552" ht="15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</row>
    <row r="553" ht="15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</row>
    <row r="554" ht="15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</row>
    <row r="555" ht="15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</row>
    <row r="556" ht="15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</row>
    <row r="557" ht="15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</row>
    <row r="558" ht="15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</row>
    <row r="559" ht="15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</row>
    <row r="560" ht="15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</row>
    <row r="561" ht="15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</row>
    <row r="562" ht="15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</row>
    <row r="563" ht="15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</row>
    <row r="564" ht="15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</row>
    <row r="565" ht="15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</row>
    <row r="566" ht="15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</row>
    <row r="567" ht="15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</row>
    <row r="568" ht="15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</row>
    <row r="569" ht="15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</row>
    <row r="570" ht="15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</row>
    <row r="571" ht="15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</row>
    <row r="572" ht="15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</row>
    <row r="573" ht="15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</row>
    <row r="574" ht="15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</row>
    <row r="575" ht="15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</row>
    <row r="576" ht="15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</row>
    <row r="577" ht="15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</row>
    <row r="578" ht="15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</row>
    <row r="579" ht="15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</row>
    <row r="580" ht="15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</row>
    <row r="581" ht="15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</row>
    <row r="582" ht="15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</row>
    <row r="583" ht="15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</row>
    <row r="584" ht="15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</row>
    <row r="585" ht="15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</row>
    <row r="586" ht="15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</row>
    <row r="587" ht="15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</row>
    <row r="588" ht="15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</row>
    <row r="589" ht="15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</row>
    <row r="590" ht="15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</row>
    <row r="591" ht="15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</row>
    <row r="592" ht="15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</row>
    <row r="593" ht="15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</row>
    <row r="594" ht="15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</row>
    <row r="595" ht="15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</row>
    <row r="596" ht="15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</row>
    <row r="597" ht="15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</row>
    <row r="598" ht="15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</row>
    <row r="599" ht="15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</row>
    <row r="600" ht="15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</row>
    <row r="601" ht="15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</row>
    <row r="602" ht="15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</row>
    <row r="603" ht="15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</row>
    <row r="604" ht="15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</row>
    <row r="605" ht="15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</row>
    <row r="606" ht="15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</row>
    <row r="607" ht="15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</row>
    <row r="608" ht="15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</row>
    <row r="609" ht="15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</row>
    <row r="610" ht="15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</row>
    <row r="611" ht="15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</row>
    <row r="612" ht="15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</row>
    <row r="613" ht="15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</row>
    <row r="614" ht="15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</row>
    <row r="615" ht="15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</row>
    <row r="616" ht="15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</row>
    <row r="617" ht="15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</row>
    <row r="618" ht="15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</row>
    <row r="619" ht="15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</row>
    <row r="620" ht="15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</row>
    <row r="621" ht="15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</row>
    <row r="622" ht="15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</row>
    <row r="623" ht="15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</row>
    <row r="624" ht="15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</row>
    <row r="625" ht="15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</row>
    <row r="626" ht="15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</row>
    <row r="627" ht="15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</row>
    <row r="628" ht="15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</row>
    <row r="629" ht="15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</row>
    <row r="630" ht="15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</row>
    <row r="631" ht="15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</row>
    <row r="632" ht="15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</row>
    <row r="633" ht="15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</row>
    <row r="634" ht="15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</row>
    <row r="635" ht="15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</row>
    <row r="636" ht="15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</row>
    <row r="637" ht="15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</row>
    <row r="638" ht="15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</row>
    <row r="639" ht="15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</row>
    <row r="640" ht="15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</row>
    <row r="641" ht="15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</row>
    <row r="642" ht="15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</row>
    <row r="643" ht="15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</row>
    <row r="644" ht="15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</row>
    <row r="645" ht="15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</row>
    <row r="646" ht="15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</row>
    <row r="647" ht="15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</row>
    <row r="648" ht="15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</row>
    <row r="649" ht="15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</row>
    <row r="650" ht="15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</row>
    <row r="651" ht="15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</row>
    <row r="652" ht="15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</row>
    <row r="653" ht="15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</row>
    <row r="654" ht="15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</row>
    <row r="655" ht="15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</row>
    <row r="656" ht="15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</row>
    <row r="657" ht="15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</row>
    <row r="658" ht="15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</row>
    <row r="659" ht="15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</row>
    <row r="660" ht="15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</row>
    <row r="661" ht="15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</row>
    <row r="662" ht="15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</row>
    <row r="663" ht="15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</row>
    <row r="664" ht="15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</row>
    <row r="665" ht="15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</row>
    <row r="666" ht="15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</row>
    <row r="667" ht="15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</row>
    <row r="668" ht="15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</row>
    <row r="669" ht="15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</row>
    <row r="670" ht="15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</row>
    <row r="671" ht="15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</row>
    <row r="672" ht="15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</row>
    <row r="673" ht="15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</row>
    <row r="674" ht="15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</row>
    <row r="675" ht="15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</row>
    <row r="676" ht="15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</row>
    <row r="677" ht="15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</row>
    <row r="678" ht="15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</row>
    <row r="679" ht="15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</row>
    <row r="680" ht="15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</row>
    <row r="681" ht="15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</row>
    <row r="682" ht="15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</row>
    <row r="683" ht="15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</row>
    <row r="684" ht="15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</row>
    <row r="685" ht="15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</row>
    <row r="686" ht="15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</row>
    <row r="687" ht="15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</row>
    <row r="688" ht="15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</row>
    <row r="689" ht="15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</row>
    <row r="690" ht="15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</row>
    <row r="691" ht="15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</row>
    <row r="692" ht="15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</row>
    <row r="693" ht="15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</row>
    <row r="694" ht="15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</row>
    <row r="695" ht="15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</row>
    <row r="696" ht="15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</row>
    <row r="697" ht="15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</row>
    <row r="698" ht="15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</row>
    <row r="699" ht="15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</row>
    <row r="700" ht="15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</row>
    <row r="701" ht="15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</row>
    <row r="702" ht="15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</row>
    <row r="703" ht="15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</row>
    <row r="704" ht="15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</row>
    <row r="705" ht="15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</row>
    <row r="706" ht="15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</row>
    <row r="707" ht="15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</row>
    <row r="708" ht="15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</row>
    <row r="709" ht="15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</row>
    <row r="710" ht="15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</row>
    <row r="711" ht="15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</row>
    <row r="712" ht="15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</row>
    <row r="713" ht="15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</row>
    <row r="714" ht="15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</row>
    <row r="715" ht="15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</row>
    <row r="716" ht="15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</row>
    <row r="717" ht="15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</row>
    <row r="718" ht="15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</row>
    <row r="719" ht="15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</row>
    <row r="720" ht="15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</row>
    <row r="721" ht="15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</row>
    <row r="722" ht="15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</row>
    <row r="723" ht="15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</row>
    <row r="724" ht="15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</row>
    <row r="725" ht="15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</row>
    <row r="726" ht="15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</row>
    <row r="727" ht="15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</row>
    <row r="728" ht="15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</row>
    <row r="729" ht="15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</row>
    <row r="730" ht="15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</row>
    <row r="731" ht="15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</row>
    <row r="732" ht="15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</row>
    <row r="733" ht="15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</row>
    <row r="734" ht="15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</row>
    <row r="735" ht="15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</row>
    <row r="736" ht="15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</row>
    <row r="737" ht="15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</row>
    <row r="738" ht="15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</row>
    <row r="739" ht="15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</row>
    <row r="740" ht="15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</row>
    <row r="741" ht="15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</row>
    <row r="742" ht="15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</row>
    <row r="743" ht="15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</row>
    <row r="744" ht="15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</row>
    <row r="745" ht="15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</row>
    <row r="746" ht="15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</row>
    <row r="747" ht="15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</row>
    <row r="748" ht="15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</row>
    <row r="749" ht="15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</row>
    <row r="750" ht="15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</row>
    <row r="751" ht="15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</row>
    <row r="752" ht="15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</row>
    <row r="753" ht="15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</row>
    <row r="754" ht="15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</row>
    <row r="755" ht="15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</row>
    <row r="756" ht="15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</row>
    <row r="757" ht="15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</row>
    <row r="758" ht="15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</row>
    <row r="759" ht="15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</row>
    <row r="760" ht="15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</row>
    <row r="761" ht="15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</row>
    <row r="762" ht="15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</row>
    <row r="763" ht="15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</row>
    <row r="764" ht="15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</row>
    <row r="765" ht="15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</row>
    <row r="766" ht="15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</row>
    <row r="767" ht="15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</row>
    <row r="768" ht="15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</row>
    <row r="769" ht="15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</row>
    <row r="770" ht="15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</row>
    <row r="771" ht="15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</row>
    <row r="772" ht="15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</row>
    <row r="773" ht="15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</row>
    <row r="774" ht="15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</row>
    <row r="775" ht="15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</row>
    <row r="776" ht="15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</row>
    <row r="777" ht="15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</row>
    <row r="778" ht="15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</row>
    <row r="779" ht="15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</row>
    <row r="780" ht="15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</row>
    <row r="781" ht="15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</row>
    <row r="782" ht="15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</row>
    <row r="783" ht="15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</row>
    <row r="784" ht="15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</row>
    <row r="785" ht="15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</row>
    <row r="786" ht="15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</row>
    <row r="787" ht="15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</row>
    <row r="788" ht="15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</row>
    <row r="789" ht="15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</row>
    <row r="790" ht="15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</row>
    <row r="791" ht="15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</row>
    <row r="792" ht="15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</row>
    <row r="793" ht="15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</row>
    <row r="794" ht="15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</row>
    <row r="795" ht="15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</row>
    <row r="796" ht="15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</row>
    <row r="797" ht="15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</row>
    <row r="798" ht="15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</row>
    <row r="799" ht="15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</row>
    <row r="800" ht="15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</row>
    <row r="801" ht="15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</row>
    <row r="802" ht="15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</row>
    <row r="803" ht="15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</row>
    <row r="804" ht="15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</row>
    <row r="805" ht="15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</row>
    <row r="806" ht="15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</row>
    <row r="807" ht="15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</row>
    <row r="808" ht="15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</row>
    <row r="809" ht="15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</row>
    <row r="810" ht="15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</row>
    <row r="811" ht="15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</row>
    <row r="812" ht="15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</row>
    <row r="813" ht="15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</row>
    <row r="814" ht="15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</row>
    <row r="815" ht="15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</row>
    <row r="816" ht="15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</row>
    <row r="817" ht="15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</row>
    <row r="818" ht="15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</row>
    <row r="819" ht="15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</row>
    <row r="820" ht="15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</row>
    <row r="821" ht="15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</row>
    <row r="822" ht="15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</row>
    <row r="823" ht="15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</row>
    <row r="824" ht="15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</row>
    <row r="825" ht="15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</row>
    <row r="826" ht="15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</row>
    <row r="827" ht="15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</row>
    <row r="828" ht="15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</row>
    <row r="829" ht="15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</row>
    <row r="830" ht="15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</row>
    <row r="831" ht="15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</row>
    <row r="832" ht="15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</row>
    <row r="833" ht="15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</row>
    <row r="834" ht="15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</row>
    <row r="835" ht="15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</row>
    <row r="836" ht="15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</row>
    <row r="837" ht="15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</row>
    <row r="838" ht="15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</row>
    <row r="839" ht="15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</row>
    <row r="840" ht="15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</row>
    <row r="841" ht="15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</row>
    <row r="842" ht="15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</row>
    <row r="843" ht="15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</row>
    <row r="844" ht="15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</row>
    <row r="845" ht="15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  <c r="AG845" s="118"/>
    </row>
    <row r="846" ht="15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  <c r="AG846" s="118"/>
    </row>
    <row r="847" ht="15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  <c r="AG847" s="118"/>
    </row>
    <row r="848" ht="15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  <c r="AG848" s="118"/>
    </row>
    <row r="849" ht="15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  <c r="AG849" s="118"/>
    </row>
    <row r="850" ht="15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  <c r="AG850" s="118"/>
    </row>
    <row r="851" ht="15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  <c r="AG851" s="118"/>
    </row>
    <row r="852" ht="15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  <c r="AG852" s="118"/>
    </row>
    <row r="853" ht="15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  <c r="AG853" s="118"/>
    </row>
    <row r="854" ht="15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  <c r="AG854" s="118"/>
    </row>
    <row r="855" ht="15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  <c r="AG855" s="118"/>
    </row>
    <row r="856" ht="15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</row>
    <row r="857" ht="15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</row>
    <row r="858" ht="15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</row>
    <row r="859" ht="15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</row>
    <row r="860" ht="15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</row>
    <row r="861" ht="15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</row>
    <row r="862" ht="15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</row>
    <row r="863" ht="15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</row>
    <row r="864" ht="15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</row>
    <row r="865" ht="15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</row>
    <row r="866" ht="15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</row>
    <row r="867" ht="15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</row>
    <row r="868" ht="15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</row>
    <row r="869" ht="15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</row>
    <row r="870" ht="15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</row>
    <row r="871" ht="15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</row>
    <row r="872" ht="15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</row>
    <row r="873" ht="15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</row>
    <row r="874" ht="15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</row>
    <row r="875" ht="15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</row>
    <row r="876" ht="15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</row>
    <row r="877" ht="15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  <c r="AG877" s="118"/>
    </row>
    <row r="878" ht="15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  <c r="AG878" s="118"/>
    </row>
    <row r="879" ht="15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  <c r="AG879" s="118"/>
    </row>
    <row r="880" ht="15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  <c r="AG880" s="118"/>
    </row>
    <row r="881" ht="15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  <c r="AG881" s="118"/>
    </row>
    <row r="882" ht="15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  <c r="AG882" s="118"/>
    </row>
    <row r="883" ht="15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  <c r="AG883" s="118"/>
    </row>
    <row r="884" ht="15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  <c r="AG884" s="118"/>
    </row>
    <row r="885" ht="15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  <c r="AG885" s="118"/>
    </row>
    <row r="886" ht="15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  <c r="AG886" s="118"/>
    </row>
    <row r="887" ht="15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</row>
    <row r="888" ht="15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  <c r="AG888" s="118"/>
    </row>
    <row r="889" ht="15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  <c r="AG889" s="118"/>
    </row>
    <row r="890" ht="15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  <c r="AG890" s="118"/>
    </row>
    <row r="891" ht="15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  <c r="AG891" s="118"/>
    </row>
    <row r="892" ht="15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  <c r="AG892" s="118"/>
    </row>
    <row r="893" ht="15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  <c r="AG893" s="118"/>
    </row>
    <row r="894" ht="15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  <c r="AG894" s="118"/>
    </row>
    <row r="895" ht="15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  <c r="AG895" s="118"/>
    </row>
    <row r="896" ht="15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  <c r="AG896" s="118"/>
    </row>
    <row r="897" ht="15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  <c r="AG897" s="118"/>
    </row>
    <row r="898" ht="15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  <c r="AG898" s="118"/>
    </row>
    <row r="899" ht="15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  <c r="AG899" s="118"/>
    </row>
    <row r="900" ht="15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  <c r="AG900" s="118"/>
    </row>
    <row r="901" ht="15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  <c r="AG901" s="118"/>
    </row>
    <row r="902" ht="15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  <c r="AG902" s="118"/>
    </row>
    <row r="903" ht="15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  <c r="AG903" s="118"/>
    </row>
    <row r="904" ht="15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  <c r="AG904" s="118"/>
    </row>
    <row r="905" ht="15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  <c r="AG905" s="118"/>
    </row>
    <row r="906" ht="15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  <c r="AG906" s="118"/>
    </row>
    <row r="907" ht="15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  <c r="AG907" s="118"/>
    </row>
    <row r="908" ht="15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  <c r="AG908" s="118"/>
    </row>
    <row r="909" ht="15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  <c r="AG909" s="118"/>
    </row>
    <row r="910" ht="15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  <c r="AG910" s="118"/>
    </row>
    <row r="911" ht="15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  <c r="AG911" s="118"/>
    </row>
    <row r="912" ht="15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  <c r="AG912" s="118"/>
    </row>
    <row r="913" ht="15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  <c r="AG913" s="118"/>
    </row>
    <row r="914" ht="15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  <c r="AG914" s="118"/>
    </row>
    <row r="915" ht="15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  <c r="AG915" s="118"/>
    </row>
    <row r="916" ht="15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  <c r="AG916" s="118"/>
    </row>
    <row r="917" ht="15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  <c r="AG917" s="118"/>
    </row>
    <row r="918" ht="15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  <c r="AG918" s="118"/>
    </row>
    <row r="919" ht="15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  <c r="AG919" s="118"/>
    </row>
    <row r="920" ht="15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  <c r="AG920" s="118"/>
    </row>
    <row r="921" ht="15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  <c r="AG921" s="118"/>
    </row>
    <row r="922" ht="15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  <c r="AG922" s="118"/>
    </row>
    <row r="923" ht="15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  <c r="AG923" s="118"/>
    </row>
    <row r="924" ht="15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  <c r="AG924" s="118"/>
    </row>
    <row r="925" ht="15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  <c r="AG925" s="118"/>
    </row>
    <row r="926" ht="15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  <c r="AG926" s="118"/>
    </row>
    <row r="927" ht="15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  <c r="AG927" s="118"/>
    </row>
    <row r="928" ht="15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  <c r="AF928" s="118"/>
      <c r="AG928" s="118"/>
    </row>
    <row r="929" ht="15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  <c r="AF929" s="118"/>
      <c r="AG929" s="118"/>
    </row>
    <row r="930" ht="15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  <c r="AF930" s="118"/>
      <c r="AG930" s="118"/>
    </row>
    <row r="931" ht="15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  <c r="AF931" s="118"/>
      <c r="AG931" s="118"/>
    </row>
    <row r="932" ht="15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  <c r="AF932" s="118"/>
      <c r="AG932" s="118"/>
    </row>
    <row r="933" ht="15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  <c r="AF933" s="118"/>
      <c r="AG933" s="118"/>
    </row>
    <row r="934" ht="15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  <c r="AF934" s="118"/>
      <c r="AG934" s="118"/>
    </row>
    <row r="935" ht="15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  <c r="AF935" s="118"/>
      <c r="AG935" s="118"/>
    </row>
    <row r="936" ht="15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  <c r="AF936" s="118"/>
      <c r="AG936" s="118"/>
    </row>
    <row r="937" ht="15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  <c r="AF937" s="118"/>
      <c r="AG937" s="118"/>
    </row>
    <row r="938" ht="15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  <c r="AF938" s="118"/>
      <c r="AG938" s="118"/>
    </row>
    <row r="939" ht="15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  <c r="AF939" s="118"/>
      <c r="AG939" s="118"/>
    </row>
    <row r="940" ht="15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  <c r="AF940" s="118"/>
      <c r="AG940" s="118"/>
    </row>
    <row r="941" ht="15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  <c r="AF941" s="118"/>
      <c r="AG941" s="118"/>
    </row>
    <row r="942" ht="15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  <c r="AF942" s="118"/>
      <c r="AG942" s="118"/>
    </row>
    <row r="943" ht="15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  <c r="AF943" s="118"/>
      <c r="AG943" s="118"/>
    </row>
    <row r="944" ht="15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  <c r="AG944" s="118"/>
    </row>
    <row r="945" ht="15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  <c r="AG945" s="118"/>
    </row>
    <row r="946" ht="15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  <c r="AG946" s="118"/>
    </row>
    <row r="947" ht="15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  <c r="AG947" s="118"/>
    </row>
    <row r="948" ht="15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  <c r="AG948" s="118"/>
    </row>
    <row r="949" ht="15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  <c r="AG949" s="118"/>
    </row>
    <row r="950" ht="15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  <c r="AG950" s="118"/>
    </row>
    <row r="951" ht="15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  <c r="AG951" s="118"/>
    </row>
    <row r="952" ht="15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  <c r="AG952" s="118"/>
    </row>
    <row r="953" ht="15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  <c r="AG953" s="118"/>
    </row>
    <row r="954" ht="15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  <c r="AG954" s="118"/>
    </row>
    <row r="955" ht="15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  <c r="AG955" s="118"/>
    </row>
    <row r="956" ht="15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  <c r="AG956" s="118"/>
    </row>
    <row r="957" ht="15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  <c r="AG957" s="118"/>
    </row>
    <row r="958" ht="15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  <c r="AG958" s="118"/>
    </row>
    <row r="959" ht="15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  <c r="AG959" s="118"/>
    </row>
    <row r="960" ht="15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  <c r="AG960" s="118"/>
    </row>
    <row r="961" ht="15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  <c r="AG961" s="118"/>
    </row>
    <row r="962" ht="15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  <c r="AG962" s="118"/>
    </row>
    <row r="963" ht="15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  <c r="AG963" s="118"/>
    </row>
    <row r="964" ht="15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  <c r="AG964" s="118"/>
    </row>
    <row r="965" ht="15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  <c r="AG965" s="118"/>
    </row>
    <row r="966" ht="15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  <c r="AG966" s="118"/>
    </row>
    <row r="967" ht="15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  <c r="AG967" s="118"/>
    </row>
    <row r="968" ht="15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  <c r="AG968" s="118"/>
    </row>
    <row r="969" ht="15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  <c r="AG969" s="118"/>
    </row>
    <row r="970" ht="15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  <c r="AG970" s="118"/>
    </row>
    <row r="971" ht="15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  <c r="AG971" s="118"/>
    </row>
    <row r="972" ht="15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  <c r="AG972" s="118"/>
    </row>
    <row r="973" ht="15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  <c r="AG973" s="118"/>
    </row>
    <row r="974" ht="15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  <c r="AG974" s="118"/>
    </row>
    <row r="975" ht="15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  <c r="AG975" s="118"/>
    </row>
    <row r="976" ht="15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  <c r="AG976" s="118"/>
    </row>
    <row r="977" ht="15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  <c r="AG977" s="118"/>
    </row>
    <row r="978" ht="15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  <c r="AG978" s="118"/>
    </row>
    <row r="979" ht="15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  <c r="AG979" s="118"/>
    </row>
    <row r="980" ht="15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  <c r="AG980" s="118"/>
    </row>
    <row r="981" ht="15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  <c r="AG981" s="118"/>
    </row>
    <row r="982" ht="15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  <c r="AG982" s="118"/>
    </row>
    <row r="983" ht="15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  <c r="AG983" s="118"/>
    </row>
    <row r="984" ht="15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  <c r="AG984" s="118"/>
    </row>
    <row r="985" ht="15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  <c r="AG985" s="118"/>
    </row>
    <row r="986" ht="15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  <c r="AG986" s="118"/>
    </row>
    <row r="987" ht="15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  <c r="AG987" s="118"/>
    </row>
    <row r="988" ht="15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  <c r="AG988" s="118"/>
    </row>
    <row r="989" ht="15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  <c r="AF989" s="118"/>
      <c r="AG989" s="118"/>
    </row>
    <row r="990" ht="15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  <c r="AG990" s="118"/>
    </row>
    <row r="991" ht="15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  <c r="AF991" s="118"/>
      <c r="AG991" s="118"/>
    </row>
    <row r="992" ht="15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  <c r="AF992" s="118"/>
      <c r="AG992" s="118"/>
    </row>
    <row r="993" ht="15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  <c r="AF993" s="118"/>
      <c r="AG993" s="118"/>
    </row>
    <row r="994" ht="15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  <c r="AF994" s="118"/>
      <c r="AG994" s="118"/>
    </row>
    <row r="995" ht="15.7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  <c r="AF995" s="118"/>
      <c r="AG995" s="118"/>
    </row>
    <row r="996" ht="15.7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  <c r="AF996" s="118"/>
      <c r="AG996" s="118"/>
    </row>
    <row r="997" ht="15.7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  <c r="AF997" s="118"/>
      <c r="AG997" s="118"/>
    </row>
    <row r="998" ht="15.7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  <c r="AF998" s="118"/>
      <c r="AG998" s="118"/>
    </row>
    <row r="999" ht="15.75" customHeight="1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  <c r="AE999" s="118"/>
      <c r="AF999" s="118"/>
      <c r="AG999" s="118"/>
    </row>
    <row r="1000" ht="15.75" customHeight="1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18"/>
      <c r="AC1000" s="118"/>
      <c r="AD1000" s="118"/>
      <c r="AE1000" s="118"/>
      <c r="AF1000" s="118"/>
      <c r="AG1000" s="118"/>
    </row>
  </sheetData>
  <mergeCells count="24">
    <mergeCell ref="B1:J1"/>
    <mergeCell ref="K1:M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22:S22"/>
    <mergeCell ref="R23:S23"/>
    <mergeCell ref="Q27:S27"/>
    <mergeCell ref="R14:S14"/>
    <mergeCell ref="R15:S15"/>
    <mergeCell ref="R16:S16"/>
    <mergeCell ref="R17:S17"/>
    <mergeCell ref="Q19:S19"/>
    <mergeCell ref="R20:S20"/>
    <mergeCell ref="R21:S21"/>
  </mergeCells>
  <printOptions/>
  <pageMargins bottom="0.75" footer="0.0" header="0.0" left="0.25" right="0.25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2" width="14.71"/>
    <col customWidth="1" min="3" max="3" width="21.57"/>
    <col customWidth="1" min="4" max="4" width="13.29"/>
    <col customWidth="1" min="5" max="5" width="7.43"/>
    <col customWidth="1" min="6" max="6" width="13.29"/>
    <col customWidth="1" min="7" max="7" width="13.57"/>
    <col customWidth="1" min="8" max="8" width="5.86"/>
    <col customWidth="1" min="9" max="9" width="13.0"/>
    <col customWidth="1" min="10" max="10" width="8.86"/>
    <col customWidth="1" min="11" max="11" width="18.86"/>
    <col customWidth="1" min="12" max="12" width="8.86"/>
    <col customWidth="1" min="13" max="13" width="11.29"/>
    <col customWidth="1" min="14" max="14" width="8.86"/>
    <col customWidth="1" min="15" max="15" width="20.29"/>
    <col customWidth="1" min="16" max="27" width="8.86"/>
  </cols>
  <sheetData>
    <row r="1" ht="40.5" customHeight="1">
      <c r="A1" s="384" t="s">
        <v>779</v>
      </c>
      <c r="B1" s="385"/>
      <c r="C1" s="385"/>
      <c r="D1" s="385"/>
      <c r="E1" s="385"/>
      <c r="F1" s="385"/>
      <c r="G1" s="385"/>
      <c r="H1" s="385"/>
      <c r="I1" s="386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</row>
    <row r="2" ht="34.5" customHeight="1">
      <c r="A2" s="123" t="s">
        <v>3</v>
      </c>
      <c r="B2" s="387" t="s">
        <v>4</v>
      </c>
      <c r="C2" s="123" t="s">
        <v>5</v>
      </c>
      <c r="D2" s="123" t="s">
        <v>6</v>
      </c>
      <c r="E2" s="123" t="s">
        <v>7</v>
      </c>
      <c r="F2" s="123" t="s">
        <v>8</v>
      </c>
      <c r="G2" s="123" t="s">
        <v>9</v>
      </c>
      <c r="H2" s="123" t="s">
        <v>10</v>
      </c>
      <c r="I2" s="123" t="s">
        <v>11</v>
      </c>
      <c r="J2" s="118"/>
      <c r="K2" s="123" t="s">
        <v>17</v>
      </c>
      <c r="L2" s="124" t="s">
        <v>18</v>
      </c>
      <c r="M2" s="53"/>
      <c r="N2" s="118"/>
      <c r="O2" s="388" t="s">
        <v>780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</row>
    <row r="3" outlineLevel="1">
      <c r="A3" s="125" t="s">
        <v>657</v>
      </c>
      <c r="B3" s="126" t="s">
        <v>781</v>
      </c>
      <c r="C3" s="125" t="s">
        <v>782</v>
      </c>
      <c r="D3" s="125">
        <v>1.0</v>
      </c>
      <c r="E3" s="125">
        <v>1.0</v>
      </c>
      <c r="F3" s="125" t="s">
        <v>128</v>
      </c>
      <c r="G3" s="125" t="s">
        <v>23</v>
      </c>
      <c r="H3" s="125" t="s">
        <v>31</v>
      </c>
      <c r="I3" s="316">
        <v>45974.0</v>
      </c>
      <c r="J3" s="118"/>
      <c r="K3" s="125" t="s">
        <v>27</v>
      </c>
      <c r="L3" s="127" t="s">
        <v>28</v>
      </c>
      <c r="M3" s="33"/>
      <c r="N3" s="118"/>
      <c r="O3" s="389" t="s">
        <v>783</v>
      </c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</row>
    <row r="4" outlineLevel="1">
      <c r="A4" s="34" t="s">
        <v>389</v>
      </c>
      <c r="B4" s="35" t="s">
        <v>781</v>
      </c>
      <c r="C4" s="34" t="s">
        <v>782</v>
      </c>
      <c r="D4" s="34">
        <v>2.0</v>
      </c>
      <c r="E4" s="34">
        <v>1.0</v>
      </c>
      <c r="F4" s="34" t="s">
        <v>128</v>
      </c>
      <c r="G4" s="34" t="s">
        <v>31</v>
      </c>
      <c r="H4" s="34" t="s">
        <v>31</v>
      </c>
      <c r="I4" s="40" t="s">
        <v>784</v>
      </c>
      <c r="J4" s="118"/>
      <c r="K4" s="34" t="s">
        <v>128</v>
      </c>
      <c r="L4" s="129" t="s">
        <v>141</v>
      </c>
      <c r="M4" s="39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</row>
    <row r="5" outlineLevel="1">
      <c r="A5" s="34" t="s">
        <v>220</v>
      </c>
      <c r="B5" s="35" t="s">
        <v>785</v>
      </c>
      <c r="C5" s="34" t="s">
        <v>782</v>
      </c>
      <c r="D5" s="34">
        <v>1.5</v>
      </c>
      <c r="E5" s="34">
        <v>1.0</v>
      </c>
      <c r="F5" s="34" t="s">
        <v>128</v>
      </c>
      <c r="G5" s="34" t="s">
        <v>31</v>
      </c>
      <c r="H5" s="34" t="s">
        <v>23</v>
      </c>
      <c r="I5" s="128">
        <v>45965.0</v>
      </c>
      <c r="J5" s="118"/>
      <c r="K5" s="34" t="s">
        <v>34</v>
      </c>
      <c r="L5" s="129" t="s">
        <v>35</v>
      </c>
      <c r="M5" s="39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</row>
    <row r="6" outlineLevel="1">
      <c r="A6" s="34" t="s">
        <v>142</v>
      </c>
      <c r="B6" s="35" t="s">
        <v>785</v>
      </c>
      <c r="C6" s="34" t="s">
        <v>782</v>
      </c>
      <c r="D6" s="34">
        <v>1.5</v>
      </c>
      <c r="E6" s="34">
        <v>1.0</v>
      </c>
      <c r="F6" s="34" t="s">
        <v>128</v>
      </c>
      <c r="G6" s="34" t="s">
        <v>31</v>
      </c>
      <c r="H6" s="34" t="s">
        <v>31</v>
      </c>
      <c r="I6" s="131">
        <v>45954.0</v>
      </c>
      <c r="J6" s="118"/>
      <c r="K6" s="34" t="s">
        <v>39</v>
      </c>
      <c r="L6" s="129" t="s">
        <v>40</v>
      </c>
      <c r="M6" s="39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</row>
    <row r="7" outlineLevel="1">
      <c r="A7" s="34" t="s">
        <v>29</v>
      </c>
      <c r="B7" s="35" t="s">
        <v>785</v>
      </c>
      <c r="C7" s="35" t="s">
        <v>786</v>
      </c>
      <c r="D7" s="34">
        <v>2.0</v>
      </c>
      <c r="E7" s="34">
        <v>2.0</v>
      </c>
      <c r="F7" s="34" t="s">
        <v>226</v>
      </c>
      <c r="G7" s="34" t="s">
        <v>31</v>
      </c>
      <c r="H7" s="34" t="s">
        <v>31</v>
      </c>
      <c r="I7" s="131">
        <v>45974.0</v>
      </c>
      <c r="J7" s="130"/>
      <c r="K7" s="34" t="s">
        <v>42</v>
      </c>
      <c r="L7" s="129" t="s">
        <v>43</v>
      </c>
      <c r="M7" s="39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</row>
    <row r="8" outlineLevel="1">
      <c r="A8" s="34" t="s">
        <v>456</v>
      </c>
      <c r="B8" s="35" t="s">
        <v>785</v>
      </c>
      <c r="C8" s="34" t="s">
        <v>782</v>
      </c>
      <c r="D8" s="34">
        <v>1.0</v>
      </c>
      <c r="E8" s="34">
        <v>1.0</v>
      </c>
      <c r="F8" s="34" t="s">
        <v>128</v>
      </c>
      <c r="G8" s="34" t="s">
        <v>23</v>
      </c>
      <c r="H8" s="34" t="s">
        <v>23</v>
      </c>
      <c r="I8" s="128">
        <v>45982.0</v>
      </c>
      <c r="J8" s="118"/>
      <c r="K8" s="50" t="s">
        <v>47</v>
      </c>
      <c r="L8" s="51" t="s">
        <v>48</v>
      </c>
      <c r="M8" s="39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</row>
    <row r="9" outlineLevel="1">
      <c r="A9" s="34" t="s">
        <v>44</v>
      </c>
      <c r="B9" s="35" t="s">
        <v>785</v>
      </c>
      <c r="C9" s="34" t="s">
        <v>782</v>
      </c>
      <c r="D9" s="34">
        <v>2.0</v>
      </c>
      <c r="E9" s="34">
        <v>1.0</v>
      </c>
      <c r="F9" s="34" t="s">
        <v>128</v>
      </c>
      <c r="G9" s="34" t="s">
        <v>31</v>
      </c>
      <c r="H9" s="34" t="s">
        <v>23</v>
      </c>
      <c r="I9" s="149">
        <v>45980.0</v>
      </c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</row>
    <row r="10" ht="15.75" customHeight="1" outlineLevel="1">
      <c r="A10" s="34" t="s">
        <v>330</v>
      </c>
      <c r="B10" s="35" t="s">
        <v>785</v>
      </c>
      <c r="C10" s="34" t="s">
        <v>782</v>
      </c>
      <c r="D10" s="34">
        <v>1.5</v>
      </c>
      <c r="E10" s="34">
        <v>1.0</v>
      </c>
      <c r="F10" s="34" t="s">
        <v>128</v>
      </c>
      <c r="G10" s="34" t="s">
        <v>31</v>
      </c>
      <c r="H10" s="34" t="s">
        <v>31</v>
      </c>
      <c r="I10" s="149">
        <v>45931.0</v>
      </c>
      <c r="J10" s="118"/>
      <c r="K10" s="16" t="s">
        <v>154</v>
      </c>
      <c r="L10" s="17" t="s">
        <v>52</v>
      </c>
      <c r="M10" s="53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</row>
    <row r="11" ht="15.0" customHeight="1" outlineLevel="1">
      <c r="A11" s="34" t="s">
        <v>54</v>
      </c>
      <c r="B11" s="35" t="s">
        <v>785</v>
      </c>
      <c r="C11" s="34" t="s">
        <v>782</v>
      </c>
      <c r="D11" s="34">
        <v>1.5</v>
      </c>
      <c r="E11" s="34">
        <v>1.0</v>
      </c>
      <c r="F11" s="34" t="s">
        <v>128</v>
      </c>
      <c r="G11" s="34" t="s">
        <v>31</v>
      </c>
      <c r="H11" s="34" t="s">
        <v>23</v>
      </c>
      <c r="I11" s="131">
        <v>45974.0</v>
      </c>
      <c r="J11" s="118"/>
      <c r="K11" s="60" t="s">
        <v>57</v>
      </c>
      <c r="L11" s="61" t="s">
        <v>58</v>
      </c>
      <c r="M11" s="33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</row>
    <row r="12" ht="15.0" customHeight="1" outlineLevel="1">
      <c r="A12" s="34" t="s">
        <v>534</v>
      </c>
      <c r="B12" s="35" t="s">
        <v>785</v>
      </c>
      <c r="C12" s="34" t="s">
        <v>782</v>
      </c>
      <c r="D12" s="34">
        <v>2.0</v>
      </c>
      <c r="E12" s="34">
        <v>1.0</v>
      </c>
      <c r="F12" s="34" t="s">
        <v>128</v>
      </c>
      <c r="G12" s="34" t="s">
        <v>31</v>
      </c>
      <c r="H12" s="34" t="s">
        <v>31</v>
      </c>
      <c r="I12" s="131">
        <v>45973.0</v>
      </c>
      <c r="J12" s="118"/>
      <c r="K12" s="135" t="s">
        <v>334</v>
      </c>
      <c r="L12" s="75" t="s">
        <v>335</v>
      </c>
      <c r="M12" s="39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</row>
    <row r="13" ht="15.0" customHeight="1" outlineLevel="1">
      <c r="A13" s="34" t="s">
        <v>331</v>
      </c>
      <c r="B13" s="35" t="s">
        <v>785</v>
      </c>
      <c r="C13" s="34" t="s">
        <v>782</v>
      </c>
      <c r="D13" s="34">
        <v>1.5</v>
      </c>
      <c r="E13" s="34">
        <v>1.0</v>
      </c>
      <c r="F13" s="34" t="s">
        <v>128</v>
      </c>
      <c r="G13" s="34" t="s">
        <v>31</v>
      </c>
      <c r="H13" s="34" t="s">
        <v>31</v>
      </c>
      <c r="I13" s="149">
        <v>45954.0</v>
      </c>
      <c r="J13" s="118"/>
      <c r="K13" s="65" t="s">
        <v>62</v>
      </c>
      <c r="L13" s="66" t="s">
        <v>58</v>
      </c>
      <c r="M13" s="33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</row>
    <row r="14" outlineLevel="1">
      <c r="A14" s="34" t="s">
        <v>615</v>
      </c>
      <c r="B14" s="35" t="s">
        <v>785</v>
      </c>
      <c r="C14" s="34" t="s">
        <v>782</v>
      </c>
      <c r="D14" s="34">
        <v>1.5</v>
      </c>
      <c r="E14" s="34">
        <v>1.0</v>
      </c>
      <c r="F14" s="34" t="s">
        <v>128</v>
      </c>
      <c r="G14" s="34" t="s">
        <v>31</v>
      </c>
      <c r="H14" s="34" t="s">
        <v>31</v>
      </c>
      <c r="I14" s="131">
        <v>45954.0</v>
      </c>
      <c r="J14" s="130"/>
      <c r="K14" s="65" t="s">
        <v>66</v>
      </c>
      <c r="L14" s="69" t="s">
        <v>67</v>
      </c>
      <c r="M14" s="39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</row>
    <row r="15" outlineLevel="1">
      <c r="A15" s="34" t="s">
        <v>336</v>
      </c>
      <c r="B15" s="35" t="s">
        <v>785</v>
      </c>
      <c r="C15" s="34" t="s">
        <v>782</v>
      </c>
      <c r="D15" s="34">
        <v>2.0</v>
      </c>
      <c r="E15" s="34">
        <v>1.0</v>
      </c>
      <c r="F15" s="34" t="s">
        <v>128</v>
      </c>
      <c r="G15" s="34" t="s">
        <v>23</v>
      </c>
      <c r="H15" s="34" t="s">
        <v>31</v>
      </c>
      <c r="I15" s="131">
        <v>45954.0</v>
      </c>
      <c r="J15" s="118"/>
      <c r="K15" s="192" t="s">
        <v>343</v>
      </c>
      <c r="L15" s="193" t="s">
        <v>58</v>
      </c>
      <c r="M15" s="39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</row>
    <row r="16" ht="15.0" customHeight="1" outlineLevel="1">
      <c r="A16" s="34" t="s">
        <v>617</v>
      </c>
      <c r="B16" s="35"/>
      <c r="C16" s="34" t="s">
        <v>782</v>
      </c>
      <c r="D16" s="34">
        <v>2.5</v>
      </c>
      <c r="E16" s="34">
        <v>1.0</v>
      </c>
      <c r="F16" s="34" t="s">
        <v>128</v>
      </c>
      <c r="G16" s="34" t="s">
        <v>23</v>
      </c>
      <c r="H16" s="34" t="s">
        <v>31</v>
      </c>
      <c r="I16" s="48" t="s">
        <v>46</v>
      </c>
      <c r="J16" s="118"/>
      <c r="K16" s="65" t="s">
        <v>345</v>
      </c>
      <c r="L16" s="193" t="s">
        <v>346</v>
      </c>
      <c r="M16" s="39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</row>
    <row r="17" outlineLevel="1">
      <c r="A17" s="34" t="s">
        <v>619</v>
      </c>
      <c r="B17" s="35" t="s">
        <v>785</v>
      </c>
      <c r="C17" s="34" t="s">
        <v>782</v>
      </c>
      <c r="D17" s="34">
        <v>1.5</v>
      </c>
      <c r="E17" s="34">
        <v>1.0</v>
      </c>
      <c r="F17" s="34" t="s">
        <v>128</v>
      </c>
      <c r="G17" s="34" t="s">
        <v>31</v>
      </c>
      <c r="H17" s="34" t="s">
        <v>31</v>
      </c>
      <c r="I17" s="131">
        <v>45974.0</v>
      </c>
      <c r="J17" s="118"/>
      <c r="K17" s="65" t="s">
        <v>71</v>
      </c>
      <c r="L17" s="72" t="s">
        <v>58</v>
      </c>
      <c r="M17" s="39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</row>
    <row r="18" outlineLevel="1">
      <c r="A18" s="34" t="s">
        <v>242</v>
      </c>
      <c r="B18" s="35" t="s">
        <v>785</v>
      </c>
      <c r="C18" s="34" t="s">
        <v>782</v>
      </c>
      <c r="D18" s="34">
        <v>1.0</v>
      </c>
      <c r="E18" s="34">
        <v>1.0</v>
      </c>
      <c r="F18" s="34" t="s">
        <v>128</v>
      </c>
      <c r="G18" s="34" t="s">
        <v>23</v>
      </c>
      <c r="H18" s="34" t="s">
        <v>31</v>
      </c>
      <c r="I18" s="131">
        <v>45986.0</v>
      </c>
      <c r="J18" s="118"/>
      <c r="K18" s="135"/>
      <c r="L18" s="137"/>
      <c r="M18" s="39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</row>
    <row r="19" outlineLevel="1">
      <c r="A19" s="34" t="s">
        <v>476</v>
      </c>
      <c r="B19" s="35" t="s">
        <v>785</v>
      </c>
      <c r="C19" s="34" t="s">
        <v>782</v>
      </c>
      <c r="D19" s="34">
        <v>1.5</v>
      </c>
      <c r="E19" s="34">
        <v>1.0</v>
      </c>
      <c r="F19" s="34" t="s">
        <v>128</v>
      </c>
      <c r="G19" s="34" t="s">
        <v>31</v>
      </c>
      <c r="H19" s="34" t="s">
        <v>31</v>
      </c>
      <c r="I19" s="131">
        <v>45967.0</v>
      </c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</row>
    <row r="20" outlineLevel="1">
      <c r="A20" s="140" t="s">
        <v>478</v>
      </c>
      <c r="B20" s="86" t="s">
        <v>781</v>
      </c>
      <c r="C20" s="140" t="s">
        <v>782</v>
      </c>
      <c r="D20" s="140">
        <v>2.0</v>
      </c>
      <c r="E20" s="140">
        <v>1.0</v>
      </c>
      <c r="F20" s="140" t="s">
        <v>128</v>
      </c>
      <c r="G20" s="140" t="s">
        <v>31</v>
      </c>
      <c r="H20" s="140" t="s">
        <v>31</v>
      </c>
      <c r="I20" s="48" t="s">
        <v>46</v>
      </c>
      <c r="J20" s="130"/>
      <c r="K20" s="77" t="s">
        <v>79</v>
      </c>
      <c r="L20" s="78"/>
      <c r="M20" s="79"/>
      <c r="O20" s="80" t="s">
        <v>80</v>
      </c>
      <c r="P20" s="73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</row>
    <row r="21" ht="41.25" customHeight="1" outlineLevel="1">
      <c r="A21" s="34" t="s">
        <v>338</v>
      </c>
      <c r="B21" s="35" t="s">
        <v>785</v>
      </c>
      <c r="C21" s="34" t="s">
        <v>782</v>
      </c>
      <c r="D21" s="34">
        <v>1.5</v>
      </c>
      <c r="E21" s="34">
        <v>1.0</v>
      </c>
      <c r="F21" s="34" t="s">
        <v>128</v>
      </c>
      <c r="G21" s="34" t="s">
        <v>31</v>
      </c>
      <c r="H21" s="34" t="s">
        <v>31</v>
      </c>
      <c r="I21" s="105" t="s">
        <v>787</v>
      </c>
      <c r="J21" s="118"/>
      <c r="K21" s="81" t="s">
        <v>83</v>
      </c>
      <c r="L21" s="82" t="s">
        <v>84</v>
      </c>
      <c r="M21" s="83"/>
      <c r="N21" s="84" t="s">
        <v>85</v>
      </c>
      <c r="O21" s="85" t="s">
        <v>86</v>
      </c>
      <c r="P21" s="73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</row>
    <row r="22" ht="28.5" customHeight="1" outlineLevel="1">
      <c r="A22" s="34" t="s">
        <v>158</v>
      </c>
      <c r="B22" s="35" t="s">
        <v>788</v>
      </c>
      <c r="C22" s="34" t="s">
        <v>782</v>
      </c>
      <c r="D22" s="34">
        <v>2.5</v>
      </c>
      <c r="E22" s="34">
        <v>1.0</v>
      </c>
      <c r="F22" s="34" t="s">
        <v>128</v>
      </c>
      <c r="G22" s="34" t="s">
        <v>23</v>
      </c>
      <c r="H22" s="34" t="s">
        <v>31</v>
      </c>
      <c r="I22" s="390">
        <v>45937.0</v>
      </c>
      <c r="J22" s="118"/>
      <c r="K22" s="89" t="s">
        <v>90</v>
      </c>
      <c r="L22" s="82" t="s">
        <v>91</v>
      </c>
      <c r="M22" s="83"/>
      <c r="N22" s="84" t="s">
        <v>85</v>
      </c>
      <c r="O22" s="85" t="s">
        <v>86</v>
      </c>
      <c r="P22" s="73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</row>
    <row r="23" ht="33.75" customHeight="1" outlineLevel="1">
      <c r="A23" s="34" t="s">
        <v>621</v>
      </c>
      <c r="B23" s="35" t="s">
        <v>785</v>
      </c>
      <c r="C23" s="34" t="s">
        <v>782</v>
      </c>
      <c r="D23" s="34">
        <v>2.0</v>
      </c>
      <c r="E23" s="34">
        <v>1.0</v>
      </c>
      <c r="F23" s="34" t="s">
        <v>128</v>
      </c>
      <c r="G23" s="34" t="s">
        <v>23</v>
      </c>
      <c r="H23" s="34" t="s">
        <v>31</v>
      </c>
      <c r="I23" s="40" t="s">
        <v>789</v>
      </c>
      <c r="J23" s="130"/>
      <c r="K23" s="91" t="s">
        <v>92</v>
      </c>
      <c r="L23" s="82" t="s">
        <v>93</v>
      </c>
      <c r="M23" s="83"/>
      <c r="N23" s="84" t="s">
        <v>85</v>
      </c>
      <c r="O23" s="85" t="s">
        <v>94</v>
      </c>
      <c r="P23" s="73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</row>
    <row r="24" ht="27.75" customHeight="1" outlineLevel="1">
      <c r="A24" s="34" t="s">
        <v>482</v>
      </c>
      <c r="B24" s="35" t="s">
        <v>790</v>
      </c>
      <c r="C24" s="34" t="s">
        <v>782</v>
      </c>
      <c r="D24" s="34">
        <v>4.0</v>
      </c>
      <c r="E24" s="34">
        <v>2.0</v>
      </c>
      <c r="F24" s="34" t="s">
        <v>128</v>
      </c>
      <c r="G24" s="34" t="s">
        <v>31</v>
      </c>
      <c r="H24" s="34" t="s">
        <v>31</v>
      </c>
      <c r="I24" s="131">
        <v>45952.0</v>
      </c>
      <c r="J24" s="118"/>
      <c r="K24" s="93" t="s">
        <v>97</v>
      </c>
      <c r="L24" s="94" t="s">
        <v>98</v>
      </c>
      <c r="M24" s="95"/>
      <c r="N24" s="84" t="s">
        <v>85</v>
      </c>
      <c r="O24" s="85" t="s">
        <v>94</v>
      </c>
      <c r="P24" s="73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</row>
    <row r="25" ht="15.75" customHeight="1" outlineLevel="1">
      <c r="A25" s="34" t="s">
        <v>667</v>
      </c>
      <c r="B25" s="35" t="s">
        <v>785</v>
      </c>
      <c r="C25" s="34" t="s">
        <v>782</v>
      </c>
      <c r="D25" s="34">
        <v>1.5</v>
      </c>
      <c r="E25" s="34">
        <v>1.0</v>
      </c>
      <c r="F25" s="34" t="s">
        <v>128</v>
      </c>
      <c r="G25" s="34" t="s">
        <v>23</v>
      </c>
      <c r="H25" s="34" t="s">
        <v>23</v>
      </c>
      <c r="I25" s="128">
        <v>45981.0</v>
      </c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</row>
    <row r="26" ht="15.75" customHeight="1" outlineLevel="1">
      <c r="A26" s="34" t="s">
        <v>541</v>
      </c>
      <c r="B26" s="35" t="s">
        <v>785</v>
      </c>
      <c r="C26" s="34" t="s">
        <v>782</v>
      </c>
      <c r="D26" s="34">
        <v>1.5</v>
      </c>
      <c r="E26" s="34">
        <v>1.0</v>
      </c>
      <c r="F26" s="34" t="s">
        <v>128</v>
      </c>
      <c r="G26" s="34" t="s">
        <v>23</v>
      </c>
      <c r="H26" s="34" t="s">
        <v>23</v>
      </c>
      <c r="I26" s="131">
        <v>45974.0</v>
      </c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</row>
    <row r="27" ht="15.75" customHeight="1" outlineLevel="1">
      <c r="A27" s="34" t="s">
        <v>161</v>
      </c>
      <c r="B27" s="35" t="s">
        <v>791</v>
      </c>
      <c r="C27" s="34" t="s">
        <v>782</v>
      </c>
      <c r="D27" s="34">
        <v>4.0</v>
      </c>
      <c r="E27" s="34">
        <v>2.0</v>
      </c>
      <c r="F27" s="34" t="s">
        <v>128</v>
      </c>
      <c r="G27" s="34" t="s">
        <v>31</v>
      </c>
      <c r="H27" s="34" t="s">
        <v>31</v>
      </c>
      <c r="I27" s="40" t="s">
        <v>792</v>
      </c>
      <c r="J27" s="118"/>
      <c r="K27" s="141" t="s">
        <v>188</v>
      </c>
      <c r="L27" s="103" t="str">
        <f>(E3*F3)+(E4*F4)+(E5*F5)+(E6*F6)+(E7*F7)+(E8*F8)+(E9*F9)+(E10*F10)+(E11*F11)+(E12*F12)+(E13*F13)+(E14*F14)+(E15*F15)+(E16*F16)+(E17*F17)+(E18*F18)+(E19*F19)+(E21*F21)+(E22*F22)+(E23*F23)+(E24*F24)+(E25*F25)+(E26*F26)+(E27*F27)+(E28*F28)+(E29*F29)+(E30*F30)+(E31*F31)+(E32*F32)+(E34*F34)+(E35*F35)+(E36*F36)+(E37*F37)+(E38*F38)+(E39*F39)+(E40*F40)+(E41*F41)+(E42*F42)+(E43*F43)+(E44*F44)+(E45*F45)+(E46*F46)+(E47*F47)+(E48*F48)+(E49*F49)+(E50*F50)+(E51*F51)+(E52*F52)+(E53*F53)+(E54*F54)+(E55*F55)+(E56*F56)+(E57*F57)+(E58*F58)+(E59*F59)+(E60*F60)+(E61*F61)+(E62*F62)+(E63*F63)+(E64*F64)+(E65*F65)+(E66*F66)+(E67*F67)+(E68*F68)+(E69*F69)+(E70*F70)+(E71*F71)+(E72*F72)+(E73*F73)+(E74*F74)+(E75*F75)+(E76*F76)+(E77*F77)+(E78*F78)+(E79*F79)+(E80*F80)+(E81*F81)+(E82*F82)+(E83*F83)+(E84*F84)+(E85*F85)+(E86*F86)+(E87*F87)+(E88*F88)+(E89*F89)+(E90*F90)+(E91*F91)+(E92*F92)+(E93*F93)+(E94*F94)+(E95*F95)+(E96*F96)+(E97*F97)+(E98*F98)+(E99*F99)+(E100*F100)</f>
        <v>#VALUE!</v>
      </c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</row>
    <row r="28" ht="15.75" customHeight="1" outlineLevel="1">
      <c r="A28" s="34" t="s">
        <v>544</v>
      </c>
      <c r="B28" s="35" t="s">
        <v>785</v>
      </c>
      <c r="C28" s="34" t="s">
        <v>782</v>
      </c>
      <c r="D28" s="34">
        <v>1.5</v>
      </c>
      <c r="E28" s="34">
        <v>1.0</v>
      </c>
      <c r="F28" s="34" t="s">
        <v>128</v>
      </c>
      <c r="G28" s="34" t="s">
        <v>23</v>
      </c>
      <c r="H28" s="34" t="s">
        <v>31</v>
      </c>
      <c r="I28" s="131">
        <v>45973.0</v>
      </c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</row>
    <row r="29" ht="15.75" customHeight="1" outlineLevel="1">
      <c r="A29" s="34" t="s">
        <v>545</v>
      </c>
      <c r="B29" s="35" t="s">
        <v>785</v>
      </c>
      <c r="C29" s="34" t="s">
        <v>782</v>
      </c>
      <c r="D29" s="34">
        <v>1.5</v>
      </c>
      <c r="E29" s="34">
        <v>1.0</v>
      </c>
      <c r="F29" s="34" t="s">
        <v>128</v>
      </c>
      <c r="G29" s="34" t="s">
        <v>31</v>
      </c>
      <c r="H29" s="34" t="s">
        <v>31</v>
      </c>
      <c r="I29" s="128">
        <v>45994.0</v>
      </c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</row>
    <row r="30" ht="15.75" customHeight="1" outlineLevel="1">
      <c r="A30" s="34" t="s">
        <v>252</v>
      </c>
      <c r="B30" s="34"/>
      <c r="C30" s="34" t="s">
        <v>782</v>
      </c>
      <c r="D30" s="35">
        <v>1.5</v>
      </c>
      <c r="E30" s="34">
        <v>1.0</v>
      </c>
      <c r="F30" s="34" t="s">
        <v>128</v>
      </c>
      <c r="G30" s="34" t="s">
        <v>23</v>
      </c>
      <c r="H30" s="34" t="s">
        <v>23</v>
      </c>
      <c r="I30" s="48" t="s">
        <v>793</v>
      </c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</row>
    <row r="31" ht="15.75" customHeight="1" outlineLevel="1">
      <c r="A31" s="34" t="s">
        <v>255</v>
      </c>
      <c r="B31" s="35" t="s">
        <v>790</v>
      </c>
      <c r="C31" s="34" t="s">
        <v>782</v>
      </c>
      <c r="D31" s="34">
        <v>4.0</v>
      </c>
      <c r="E31" s="34">
        <v>2.0</v>
      </c>
      <c r="F31" s="34" t="s">
        <v>128</v>
      </c>
      <c r="G31" s="34" t="s">
        <v>31</v>
      </c>
      <c r="H31" s="34" t="s">
        <v>31</v>
      </c>
      <c r="I31" s="128">
        <v>45973.0</v>
      </c>
      <c r="J31" s="130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</row>
    <row r="32" ht="15.75" customHeight="1" outlineLevel="1">
      <c r="A32" s="35" t="s">
        <v>166</v>
      </c>
      <c r="B32" s="35" t="s">
        <v>790</v>
      </c>
      <c r="C32" s="35" t="s">
        <v>782</v>
      </c>
      <c r="D32" s="34"/>
      <c r="E32" s="34"/>
      <c r="F32" s="35" t="s">
        <v>128</v>
      </c>
      <c r="G32" s="34"/>
      <c r="H32" s="34"/>
      <c r="I32" s="128">
        <v>45982.0</v>
      </c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</row>
    <row r="33" ht="15.75" customHeight="1" outlineLevel="1">
      <c r="A33" s="34" t="s">
        <v>488</v>
      </c>
      <c r="B33" s="35" t="s">
        <v>785</v>
      </c>
      <c r="C33" s="34" t="s">
        <v>782</v>
      </c>
      <c r="D33" s="34">
        <v>1.5</v>
      </c>
      <c r="E33" s="34">
        <v>1.0</v>
      </c>
      <c r="F33" s="34" t="s">
        <v>128</v>
      </c>
      <c r="G33" s="34" t="s">
        <v>31</v>
      </c>
      <c r="H33" s="34" t="s">
        <v>31</v>
      </c>
      <c r="I33" s="131">
        <v>45967.0</v>
      </c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</row>
    <row r="34" ht="15.75" customHeight="1" outlineLevel="1">
      <c r="A34" s="34" t="s">
        <v>627</v>
      </c>
      <c r="B34" s="35" t="s">
        <v>794</v>
      </c>
      <c r="C34" s="34" t="s">
        <v>782</v>
      </c>
      <c r="D34" s="35">
        <v>2.0</v>
      </c>
      <c r="E34" s="34">
        <v>1.0</v>
      </c>
      <c r="F34" s="34" t="s">
        <v>128</v>
      </c>
      <c r="G34" s="34" t="s">
        <v>23</v>
      </c>
      <c r="H34" s="34" t="s">
        <v>23</v>
      </c>
      <c r="I34" s="391">
        <v>45931.0</v>
      </c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</row>
    <row r="35" ht="15.75" customHeight="1" outlineLevel="1">
      <c r="A35" s="34" t="s">
        <v>548</v>
      </c>
      <c r="B35" s="35" t="s">
        <v>785</v>
      </c>
      <c r="C35" s="34" t="s">
        <v>782</v>
      </c>
      <c r="D35" s="34">
        <v>2.0</v>
      </c>
      <c r="E35" s="34">
        <v>1.0</v>
      </c>
      <c r="F35" s="34" t="s">
        <v>128</v>
      </c>
      <c r="G35" s="34" t="s">
        <v>31</v>
      </c>
      <c r="H35" s="34" t="s">
        <v>31</v>
      </c>
      <c r="I35" s="128">
        <v>45981.0</v>
      </c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</row>
    <row r="36" ht="15.75" customHeight="1" outlineLevel="1">
      <c r="A36" s="34" t="s">
        <v>492</v>
      </c>
      <c r="B36" s="35" t="s">
        <v>785</v>
      </c>
      <c r="C36" s="34" t="s">
        <v>782</v>
      </c>
      <c r="D36" s="34">
        <v>1.5</v>
      </c>
      <c r="E36" s="34">
        <v>1.0</v>
      </c>
      <c r="F36" s="34" t="s">
        <v>128</v>
      </c>
      <c r="G36" s="34" t="s">
        <v>31</v>
      </c>
      <c r="H36" s="34" t="s">
        <v>31</v>
      </c>
      <c r="I36" s="40" t="s">
        <v>795</v>
      </c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</row>
    <row r="37" ht="15.75" customHeight="1" outlineLevel="1">
      <c r="A37" s="34" t="s">
        <v>76</v>
      </c>
      <c r="B37" s="35" t="s">
        <v>785</v>
      </c>
      <c r="C37" s="34" t="s">
        <v>782</v>
      </c>
      <c r="D37" s="34">
        <v>1.5</v>
      </c>
      <c r="E37" s="34">
        <v>1.0</v>
      </c>
      <c r="F37" s="34" t="s">
        <v>128</v>
      </c>
      <c r="G37" s="34" t="s">
        <v>23</v>
      </c>
      <c r="H37" s="34" t="s">
        <v>31</v>
      </c>
      <c r="I37" s="131">
        <v>45933.0</v>
      </c>
      <c r="J37" s="130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</row>
    <row r="38" ht="15.75" customHeight="1" outlineLevel="1">
      <c r="A38" s="34" t="s">
        <v>173</v>
      </c>
      <c r="B38" s="35" t="s">
        <v>796</v>
      </c>
      <c r="C38" s="34" t="s">
        <v>782</v>
      </c>
      <c r="D38" s="35">
        <v>2.0</v>
      </c>
      <c r="E38" s="34">
        <v>1.0</v>
      </c>
      <c r="F38" s="34" t="s">
        <v>128</v>
      </c>
      <c r="G38" s="34" t="s">
        <v>23</v>
      </c>
      <c r="H38" s="34" t="s">
        <v>31</v>
      </c>
      <c r="I38" s="131">
        <v>45975.0</v>
      </c>
      <c r="J38" s="130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</row>
    <row r="39" ht="15.75" customHeight="1" outlineLevel="1">
      <c r="A39" s="35" t="s">
        <v>87</v>
      </c>
      <c r="B39" s="35"/>
      <c r="C39" s="34"/>
      <c r="D39" s="35"/>
      <c r="E39" s="34"/>
      <c r="F39" s="34"/>
      <c r="G39" s="34"/>
      <c r="H39" s="34"/>
      <c r="I39" s="48" t="s">
        <v>46</v>
      </c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</row>
    <row r="40" ht="15.75" customHeight="1" outlineLevel="1">
      <c r="A40" s="34" t="s">
        <v>420</v>
      </c>
      <c r="B40" s="35" t="s">
        <v>785</v>
      </c>
      <c r="C40" s="34" t="s">
        <v>782</v>
      </c>
      <c r="D40" s="34">
        <v>1.5</v>
      </c>
      <c r="E40" s="34">
        <v>1.0</v>
      </c>
      <c r="F40" s="34" t="s">
        <v>128</v>
      </c>
      <c r="G40" s="34" t="s">
        <v>31</v>
      </c>
      <c r="H40" s="34" t="s">
        <v>31</v>
      </c>
      <c r="I40" s="131">
        <v>45974.0</v>
      </c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</row>
    <row r="41" ht="15.75" customHeight="1" outlineLevel="1">
      <c r="A41" s="140" t="s">
        <v>668</v>
      </c>
      <c r="B41" s="140"/>
      <c r="C41" s="140" t="s">
        <v>782</v>
      </c>
      <c r="D41" s="140">
        <v>1.5</v>
      </c>
      <c r="E41" s="140">
        <v>1.0</v>
      </c>
      <c r="F41" s="140" t="s">
        <v>128</v>
      </c>
      <c r="G41" s="140" t="s">
        <v>31</v>
      </c>
      <c r="H41" s="140" t="s">
        <v>23</v>
      </c>
      <c r="I41" s="48" t="s">
        <v>46</v>
      </c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</row>
    <row r="42" ht="15.75" customHeight="1" outlineLevel="1">
      <c r="A42" s="140" t="s">
        <v>670</v>
      </c>
      <c r="B42" s="140"/>
      <c r="C42" s="140" t="s">
        <v>782</v>
      </c>
      <c r="D42" s="140">
        <v>1.5</v>
      </c>
      <c r="E42" s="140">
        <v>1.0</v>
      </c>
      <c r="F42" s="140" t="s">
        <v>128</v>
      </c>
      <c r="G42" s="140" t="s">
        <v>31</v>
      </c>
      <c r="H42" s="140" t="s">
        <v>23</v>
      </c>
      <c r="I42" s="48" t="s">
        <v>46</v>
      </c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</row>
    <row r="43" ht="15.75" customHeight="1" outlineLevel="1">
      <c r="A43" s="86" t="s">
        <v>356</v>
      </c>
      <c r="B43" s="86" t="s">
        <v>785</v>
      </c>
      <c r="C43" s="86" t="s">
        <v>782</v>
      </c>
      <c r="D43" s="86">
        <v>0.5</v>
      </c>
      <c r="E43" s="86">
        <v>1.0</v>
      </c>
      <c r="F43" s="140"/>
      <c r="G43" s="140"/>
      <c r="H43" s="86" t="s">
        <v>23</v>
      </c>
      <c r="I43" s="213" t="s">
        <v>46</v>
      </c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</row>
    <row r="44" ht="15.75" customHeight="1" outlineLevel="1">
      <c r="A44" s="140" t="s">
        <v>735</v>
      </c>
      <c r="B44" s="86" t="s">
        <v>785</v>
      </c>
      <c r="C44" s="140" t="s">
        <v>782</v>
      </c>
      <c r="D44" s="140">
        <v>1.5</v>
      </c>
      <c r="E44" s="140">
        <v>1.0</v>
      </c>
      <c r="F44" s="140" t="s">
        <v>128</v>
      </c>
      <c r="G44" s="140" t="s">
        <v>31</v>
      </c>
      <c r="H44" s="140" t="s">
        <v>23</v>
      </c>
      <c r="I44" s="213" t="s">
        <v>46</v>
      </c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</row>
    <row r="45" ht="15.75" customHeight="1" outlineLevel="1">
      <c r="A45" s="34" t="s">
        <v>267</v>
      </c>
      <c r="B45" s="35" t="s">
        <v>785</v>
      </c>
      <c r="C45" s="34" t="s">
        <v>782</v>
      </c>
      <c r="D45" s="34">
        <v>1.5</v>
      </c>
      <c r="E45" s="34">
        <v>1.0</v>
      </c>
      <c r="F45" s="34" t="s">
        <v>128</v>
      </c>
      <c r="G45" s="34" t="s">
        <v>23</v>
      </c>
      <c r="H45" s="34" t="s">
        <v>23</v>
      </c>
      <c r="I45" s="136">
        <v>45979.0</v>
      </c>
      <c r="J45" s="130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</row>
    <row r="46" ht="15.75" customHeight="1" outlineLevel="1">
      <c r="A46" s="34" t="s">
        <v>553</v>
      </c>
      <c r="B46" s="35" t="s">
        <v>785</v>
      </c>
      <c r="C46" s="34" t="s">
        <v>782</v>
      </c>
      <c r="D46" s="34">
        <v>2.5</v>
      </c>
      <c r="E46" s="34">
        <v>1.0</v>
      </c>
      <c r="F46" s="34" t="s">
        <v>128</v>
      </c>
      <c r="G46" s="34" t="s">
        <v>23</v>
      </c>
      <c r="H46" s="34" t="s">
        <v>31</v>
      </c>
      <c r="I46" s="40" t="s">
        <v>797</v>
      </c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</row>
    <row r="47" ht="15.75" customHeight="1" outlineLevel="1">
      <c r="A47" s="34" t="s">
        <v>493</v>
      </c>
      <c r="B47" s="35" t="s">
        <v>785</v>
      </c>
      <c r="C47" s="34" t="s">
        <v>782</v>
      </c>
      <c r="D47" s="34">
        <v>1.5</v>
      </c>
      <c r="E47" s="34">
        <v>1.0</v>
      </c>
      <c r="F47" s="34" t="s">
        <v>128</v>
      </c>
      <c r="G47" s="34" t="s">
        <v>31</v>
      </c>
      <c r="H47" s="34" t="s">
        <v>23</v>
      </c>
      <c r="I47" s="128">
        <v>45982.0</v>
      </c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</row>
    <row r="48" ht="15.75" customHeight="1" outlineLevel="1">
      <c r="A48" s="34" t="s">
        <v>494</v>
      </c>
      <c r="B48" s="35" t="s">
        <v>785</v>
      </c>
      <c r="C48" s="34" t="s">
        <v>782</v>
      </c>
      <c r="D48" s="34">
        <v>1.5</v>
      </c>
      <c r="E48" s="34">
        <v>1.0</v>
      </c>
      <c r="F48" s="34" t="s">
        <v>128</v>
      </c>
      <c r="G48" s="34" t="s">
        <v>23</v>
      </c>
      <c r="H48" s="34" t="s">
        <v>23</v>
      </c>
      <c r="I48" s="131">
        <v>45974.0</v>
      </c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</row>
    <row r="49" ht="15.75" customHeight="1" outlineLevel="1">
      <c r="A49" s="34" t="s">
        <v>673</v>
      </c>
      <c r="B49" s="35" t="s">
        <v>785</v>
      </c>
      <c r="C49" s="34" t="s">
        <v>782</v>
      </c>
      <c r="D49" s="34">
        <v>1.5</v>
      </c>
      <c r="E49" s="34">
        <v>1.0</v>
      </c>
      <c r="F49" s="34" t="s">
        <v>128</v>
      </c>
      <c r="G49" s="34" t="s">
        <v>23</v>
      </c>
      <c r="H49" s="34" t="s">
        <v>31</v>
      </c>
      <c r="I49" s="131">
        <v>45974.0</v>
      </c>
      <c r="J49" s="130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</row>
    <row r="50" ht="15.75" customHeight="1" outlineLevel="1">
      <c r="A50" s="140" t="s">
        <v>560</v>
      </c>
      <c r="B50" s="86" t="s">
        <v>785</v>
      </c>
      <c r="C50" s="140" t="s">
        <v>782</v>
      </c>
      <c r="D50" s="140">
        <v>1.5</v>
      </c>
      <c r="E50" s="140">
        <v>1.0</v>
      </c>
      <c r="F50" s="140" t="s">
        <v>128</v>
      </c>
      <c r="G50" s="140" t="s">
        <v>23</v>
      </c>
      <c r="H50" s="140" t="s">
        <v>31</v>
      </c>
      <c r="I50" s="48" t="s">
        <v>46</v>
      </c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</row>
    <row r="51" ht="15.75" customHeight="1" outlineLevel="1">
      <c r="A51" s="140" t="s">
        <v>737</v>
      </c>
      <c r="B51" s="86" t="s">
        <v>785</v>
      </c>
      <c r="C51" s="140" t="s">
        <v>782</v>
      </c>
      <c r="D51" s="140">
        <v>1.5</v>
      </c>
      <c r="E51" s="140">
        <v>2.0</v>
      </c>
      <c r="F51" s="140" t="s">
        <v>128</v>
      </c>
      <c r="G51" s="140" t="s">
        <v>31</v>
      </c>
      <c r="H51" s="140" t="s">
        <v>31</v>
      </c>
      <c r="I51" s="48" t="s">
        <v>46</v>
      </c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</row>
    <row r="52" ht="15.75" customHeight="1" outlineLevel="1">
      <c r="A52" s="34" t="s">
        <v>358</v>
      </c>
      <c r="B52" s="35" t="s">
        <v>785</v>
      </c>
      <c r="C52" s="34" t="s">
        <v>782</v>
      </c>
      <c r="D52" s="34">
        <v>2.0</v>
      </c>
      <c r="E52" s="34">
        <v>1.0</v>
      </c>
      <c r="F52" s="34" t="s">
        <v>128</v>
      </c>
      <c r="G52" s="34" t="s">
        <v>31</v>
      </c>
      <c r="H52" s="34" t="s">
        <v>31</v>
      </c>
      <c r="I52" s="131">
        <v>45979.0</v>
      </c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</row>
    <row r="53" ht="15.75" customHeight="1" outlineLevel="1">
      <c r="A53" s="34" t="s">
        <v>95</v>
      </c>
      <c r="B53" s="35" t="s">
        <v>785</v>
      </c>
      <c r="C53" s="34" t="s">
        <v>782</v>
      </c>
      <c r="D53" s="34">
        <v>2.5</v>
      </c>
      <c r="E53" s="34">
        <v>1.0</v>
      </c>
      <c r="F53" s="34" t="s">
        <v>128</v>
      </c>
      <c r="G53" s="34" t="s">
        <v>31</v>
      </c>
      <c r="H53" s="34" t="s">
        <v>31</v>
      </c>
      <c r="I53" s="392">
        <v>45995.0</v>
      </c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</row>
    <row r="54" ht="15.75" customHeight="1" outlineLevel="1">
      <c r="A54" s="34" t="s">
        <v>99</v>
      </c>
      <c r="B54" s="35" t="s">
        <v>130</v>
      </c>
      <c r="C54" s="35" t="s">
        <v>782</v>
      </c>
      <c r="D54" s="34">
        <v>5.0</v>
      </c>
      <c r="E54" s="34">
        <v>2.0</v>
      </c>
      <c r="F54" s="34" t="s">
        <v>128</v>
      </c>
      <c r="G54" s="34" t="s">
        <v>31</v>
      </c>
      <c r="H54" s="34" t="s">
        <v>23</v>
      </c>
      <c r="I54" s="131">
        <v>45981.0</v>
      </c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</row>
    <row r="55" ht="15.75" customHeight="1" outlineLevel="1">
      <c r="A55" s="34" t="s">
        <v>101</v>
      </c>
      <c r="B55" s="35" t="s">
        <v>785</v>
      </c>
      <c r="C55" s="34" t="s">
        <v>782</v>
      </c>
      <c r="D55" s="34">
        <v>2.0</v>
      </c>
      <c r="E55" s="34">
        <v>1.0</v>
      </c>
      <c r="F55" s="34" t="s">
        <v>128</v>
      </c>
      <c r="G55" s="34" t="s">
        <v>31</v>
      </c>
      <c r="H55" s="34" t="s">
        <v>23</v>
      </c>
      <c r="I55" s="131">
        <v>45975.0</v>
      </c>
      <c r="J55" s="130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</row>
    <row r="56" ht="15.75" customHeight="1" outlineLevel="1">
      <c r="A56" s="35" t="s">
        <v>674</v>
      </c>
      <c r="B56" s="35"/>
      <c r="C56" s="35" t="s">
        <v>782</v>
      </c>
      <c r="D56" s="34"/>
      <c r="E56" s="34"/>
      <c r="F56" s="34"/>
      <c r="G56" s="34"/>
      <c r="H56" s="34"/>
      <c r="I56" s="48" t="s">
        <v>46</v>
      </c>
      <c r="J56" s="130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</row>
    <row r="57" ht="15.75" customHeight="1" outlineLevel="1">
      <c r="A57" s="35" t="s">
        <v>497</v>
      </c>
      <c r="B57" s="35" t="s">
        <v>785</v>
      </c>
      <c r="C57" s="35" t="s">
        <v>782</v>
      </c>
      <c r="D57" s="34"/>
      <c r="E57" s="34"/>
      <c r="F57" s="34"/>
      <c r="G57" s="34"/>
      <c r="H57" s="34"/>
      <c r="I57" s="149">
        <v>45982.0</v>
      </c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</row>
    <row r="58" ht="15.75" customHeight="1" outlineLevel="1">
      <c r="A58" s="34" t="s">
        <v>679</v>
      </c>
      <c r="B58" s="35" t="s">
        <v>785</v>
      </c>
      <c r="C58" s="34" t="s">
        <v>782</v>
      </c>
      <c r="D58" s="35">
        <v>2.0</v>
      </c>
      <c r="E58" s="35">
        <v>1.0</v>
      </c>
      <c r="F58" s="34" t="s">
        <v>128</v>
      </c>
      <c r="G58" s="34" t="s">
        <v>31</v>
      </c>
      <c r="H58" s="34" t="s">
        <v>31</v>
      </c>
      <c r="I58" s="131">
        <v>45933.0</v>
      </c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</row>
    <row r="59" ht="15.75" customHeight="1" outlineLevel="1">
      <c r="A59" s="34" t="s">
        <v>111</v>
      </c>
      <c r="B59" s="35" t="s">
        <v>785</v>
      </c>
      <c r="C59" s="34" t="s">
        <v>782</v>
      </c>
      <c r="D59" s="34">
        <v>2.5</v>
      </c>
      <c r="E59" s="34">
        <v>1.0</v>
      </c>
      <c r="F59" s="34" t="s">
        <v>128</v>
      </c>
      <c r="G59" s="34" t="s">
        <v>31</v>
      </c>
      <c r="H59" s="34" t="s">
        <v>31</v>
      </c>
      <c r="I59" s="149">
        <v>45982.0</v>
      </c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</row>
    <row r="60" ht="15.75" customHeight="1" outlineLevel="1">
      <c r="A60" s="34" t="s">
        <v>114</v>
      </c>
      <c r="B60" s="35" t="s">
        <v>785</v>
      </c>
      <c r="C60" s="34" t="s">
        <v>782</v>
      </c>
      <c r="D60" s="34">
        <v>2.0</v>
      </c>
      <c r="E60" s="34">
        <v>1.0</v>
      </c>
      <c r="F60" s="34" t="s">
        <v>128</v>
      </c>
      <c r="G60" s="34" t="s">
        <v>31</v>
      </c>
      <c r="H60" s="34" t="s">
        <v>31</v>
      </c>
      <c r="I60" s="131">
        <v>45974.0</v>
      </c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</row>
    <row r="61" ht="15.75" customHeight="1" outlineLevel="1">
      <c r="A61" s="34" t="s">
        <v>683</v>
      </c>
      <c r="B61" s="35" t="s">
        <v>790</v>
      </c>
      <c r="C61" s="34" t="s">
        <v>782</v>
      </c>
      <c r="D61" s="34">
        <v>1.5</v>
      </c>
      <c r="E61" s="34">
        <v>1.0</v>
      </c>
      <c r="F61" s="34" t="s">
        <v>128</v>
      </c>
      <c r="G61" s="34" t="s">
        <v>23</v>
      </c>
      <c r="H61" s="34" t="s">
        <v>31</v>
      </c>
      <c r="I61" s="131">
        <v>45967.0</v>
      </c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</row>
    <row r="62" ht="15.75" customHeight="1" outlineLevel="1">
      <c r="A62" s="34" t="s">
        <v>505</v>
      </c>
      <c r="B62" s="35" t="s">
        <v>781</v>
      </c>
      <c r="C62" s="34" t="s">
        <v>782</v>
      </c>
      <c r="D62" s="34">
        <v>2.0</v>
      </c>
      <c r="E62" s="34">
        <v>1.0</v>
      </c>
      <c r="F62" s="34" t="s">
        <v>128</v>
      </c>
      <c r="G62" s="34" t="s">
        <v>31</v>
      </c>
      <c r="H62" s="34" t="s">
        <v>23</v>
      </c>
      <c r="I62" s="128">
        <v>45981.0</v>
      </c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</row>
    <row r="63" ht="15.75" customHeight="1" outlineLevel="1">
      <c r="A63" s="34" t="s">
        <v>363</v>
      </c>
      <c r="B63" s="35" t="s">
        <v>785</v>
      </c>
      <c r="C63" s="34" t="s">
        <v>782</v>
      </c>
      <c r="D63" s="34">
        <v>1.5</v>
      </c>
      <c r="E63" s="34">
        <v>1.0</v>
      </c>
      <c r="F63" s="34" t="s">
        <v>128</v>
      </c>
      <c r="G63" s="34" t="s">
        <v>31</v>
      </c>
      <c r="H63" s="34" t="s">
        <v>31</v>
      </c>
      <c r="I63" s="131">
        <v>45933.0</v>
      </c>
      <c r="J63" s="130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</row>
    <row r="64" ht="15.75" customHeight="1" outlineLevel="1">
      <c r="A64" s="34" t="s">
        <v>568</v>
      </c>
      <c r="B64" s="35" t="s">
        <v>785</v>
      </c>
      <c r="C64" s="34" t="s">
        <v>782</v>
      </c>
      <c r="D64" s="34">
        <v>2.0</v>
      </c>
      <c r="E64" s="34">
        <v>1.0</v>
      </c>
      <c r="F64" s="34" t="s">
        <v>128</v>
      </c>
      <c r="G64" s="34" t="s">
        <v>31</v>
      </c>
      <c r="H64" s="34" t="s">
        <v>31</v>
      </c>
      <c r="I64" s="131">
        <v>45968.0</v>
      </c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</row>
    <row r="65" ht="15.75" customHeight="1" outlineLevel="1">
      <c r="A65" s="34" t="s">
        <v>745</v>
      </c>
      <c r="B65" s="35" t="s">
        <v>785</v>
      </c>
      <c r="C65" s="34" t="s">
        <v>782</v>
      </c>
      <c r="D65" s="34">
        <v>2.0</v>
      </c>
      <c r="E65" s="34">
        <v>1.0</v>
      </c>
      <c r="F65" s="34" t="s">
        <v>128</v>
      </c>
      <c r="G65" s="34" t="s">
        <v>31</v>
      </c>
      <c r="H65" s="34" t="s">
        <v>31</v>
      </c>
      <c r="I65" s="131">
        <v>45961.0</v>
      </c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</row>
    <row r="66" ht="15.75" customHeight="1" outlineLevel="1">
      <c r="A66" s="34" t="s">
        <v>747</v>
      </c>
      <c r="B66" s="35" t="s">
        <v>785</v>
      </c>
      <c r="C66" s="34" t="s">
        <v>782</v>
      </c>
      <c r="D66" s="34">
        <v>2.0</v>
      </c>
      <c r="E66" s="34">
        <v>1.0</v>
      </c>
      <c r="F66" s="34" t="s">
        <v>128</v>
      </c>
      <c r="G66" s="34" t="s">
        <v>31</v>
      </c>
      <c r="H66" s="34" t="s">
        <v>31</v>
      </c>
      <c r="I66" s="131">
        <v>45971.0</v>
      </c>
      <c r="J66" s="130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</row>
    <row r="67" ht="15.75" customHeight="1" outlineLevel="1">
      <c r="A67" s="34" t="s">
        <v>750</v>
      </c>
      <c r="B67" s="35" t="s">
        <v>785</v>
      </c>
      <c r="C67" s="34" t="s">
        <v>782</v>
      </c>
      <c r="D67" s="34">
        <v>1.5</v>
      </c>
      <c r="E67" s="34">
        <v>1.0</v>
      </c>
      <c r="F67" s="34" t="s">
        <v>128</v>
      </c>
      <c r="G67" s="34" t="s">
        <v>31</v>
      </c>
      <c r="H67" s="34" t="s">
        <v>31</v>
      </c>
      <c r="I67" s="131">
        <v>45971.0</v>
      </c>
      <c r="J67" s="130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</row>
    <row r="68" ht="15.75" customHeight="1" outlineLevel="1">
      <c r="A68" s="34" t="s">
        <v>430</v>
      </c>
      <c r="B68" s="35" t="s">
        <v>785</v>
      </c>
      <c r="C68" s="34" t="s">
        <v>782</v>
      </c>
      <c r="D68" s="35">
        <v>2.5</v>
      </c>
      <c r="E68" s="34">
        <v>1.0</v>
      </c>
      <c r="F68" s="34" t="s">
        <v>128</v>
      </c>
      <c r="G68" s="34" t="s">
        <v>31</v>
      </c>
      <c r="H68" s="34" t="s">
        <v>23</v>
      </c>
      <c r="I68" s="128">
        <v>45981.0</v>
      </c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</row>
    <row r="69" ht="15.75" customHeight="1" outlineLevel="1">
      <c r="A69" s="140" t="s">
        <v>364</v>
      </c>
      <c r="B69" s="86" t="s">
        <v>785</v>
      </c>
      <c r="C69" s="140" t="s">
        <v>782</v>
      </c>
      <c r="D69" s="140">
        <v>1.5</v>
      </c>
      <c r="E69" s="140">
        <v>1.0</v>
      </c>
      <c r="F69" s="140" t="s">
        <v>128</v>
      </c>
      <c r="G69" s="140" t="s">
        <v>31</v>
      </c>
      <c r="H69" s="140" t="s">
        <v>31</v>
      </c>
      <c r="I69" s="48" t="s">
        <v>46</v>
      </c>
      <c r="J69" s="130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</row>
    <row r="70" ht="15.75" customHeight="1" outlineLevel="1">
      <c r="A70" s="140" t="s">
        <v>365</v>
      </c>
      <c r="B70" s="86" t="s">
        <v>785</v>
      </c>
      <c r="C70" s="86" t="s">
        <v>782</v>
      </c>
      <c r="D70" s="140">
        <v>3.0</v>
      </c>
      <c r="E70" s="140">
        <v>2.0</v>
      </c>
      <c r="F70" s="86" t="s">
        <v>128</v>
      </c>
      <c r="G70" s="140" t="s">
        <v>23</v>
      </c>
      <c r="H70" s="140" t="s">
        <v>31</v>
      </c>
      <c r="I70" s="48" t="s">
        <v>46</v>
      </c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</row>
    <row r="71" ht="15.75" customHeight="1" outlineLevel="1">
      <c r="A71" s="140" t="s">
        <v>572</v>
      </c>
      <c r="B71" s="140"/>
      <c r="C71" s="140" t="s">
        <v>782</v>
      </c>
      <c r="D71" s="140">
        <v>1.5</v>
      </c>
      <c r="E71" s="140">
        <v>1.0</v>
      </c>
      <c r="F71" s="140" t="s">
        <v>128</v>
      </c>
      <c r="G71" s="140" t="s">
        <v>31</v>
      </c>
      <c r="H71" s="140" t="s">
        <v>31</v>
      </c>
      <c r="I71" s="48" t="s">
        <v>46</v>
      </c>
      <c r="J71" s="130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</row>
    <row r="72" ht="15.75" customHeight="1" outlineLevel="1">
      <c r="A72" s="34" t="s">
        <v>641</v>
      </c>
      <c r="B72" s="35" t="s">
        <v>785</v>
      </c>
      <c r="C72" s="34" t="s">
        <v>782</v>
      </c>
      <c r="D72" s="34">
        <v>2.5</v>
      </c>
      <c r="E72" s="34">
        <v>1.0</v>
      </c>
      <c r="F72" s="34" t="s">
        <v>128</v>
      </c>
      <c r="G72" s="34" t="s">
        <v>31</v>
      </c>
      <c r="H72" s="34" t="s">
        <v>23</v>
      </c>
      <c r="I72" s="131">
        <v>45982.0</v>
      </c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</row>
    <row r="73" ht="15.75" customHeight="1" outlineLevel="1">
      <c r="A73" s="35" t="s">
        <v>693</v>
      </c>
      <c r="B73" s="35"/>
      <c r="C73" s="35" t="s">
        <v>782</v>
      </c>
      <c r="D73" s="34"/>
      <c r="E73" s="34"/>
      <c r="F73" s="34"/>
      <c r="G73" s="34"/>
      <c r="H73" s="34"/>
      <c r="I73" s="48" t="s">
        <v>46</v>
      </c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</row>
    <row r="74" ht="15.75" customHeight="1" outlineLevel="1">
      <c r="A74" s="34" t="s">
        <v>367</v>
      </c>
      <c r="B74" s="35" t="s">
        <v>785</v>
      </c>
      <c r="C74" s="34" t="s">
        <v>782</v>
      </c>
      <c r="D74" s="34">
        <v>1.5</v>
      </c>
      <c r="E74" s="34">
        <v>1.0</v>
      </c>
      <c r="F74" s="34" t="s">
        <v>128</v>
      </c>
      <c r="G74" s="34" t="s">
        <v>31</v>
      </c>
      <c r="H74" s="34" t="s">
        <v>31</v>
      </c>
      <c r="I74" s="169">
        <v>45994.0</v>
      </c>
      <c r="J74" s="130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</row>
    <row r="75" ht="15.75" customHeight="1" outlineLevel="1">
      <c r="A75" s="140" t="s">
        <v>276</v>
      </c>
      <c r="B75" s="140"/>
      <c r="C75" s="140" t="s">
        <v>782</v>
      </c>
      <c r="D75" s="140">
        <v>1.5</v>
      </c>
      <c r="E75" s="140">
        <v>1.0</v>
      </c>
      <c r="F75" s="140" t="s">
        <v>128</v>
      </c>
      <c r="G75" s="140" t="s">
        <v>23</v>
      </c>
      <c r="H75" s="140" t="s">
        <v>31</v>
      </c>
      <c r="I75" s="105" t="s">
        <v>798</v>
      </c>
      <c r="J75" s="224" t="s">
        <v>277</v>
      </c>
      <c r="K75" s="225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</row>
    <row r="76" ht="15.75" customHeight="1" outlineLevel="1">
      <c r="A76" s="34" t="s">
        <v>434</v>
      </c>
      <c r="B76" s="35" t="s">
        <v>785</v>
      </c>
      <c r="C76" s="34" t="s">
        <v>782</v>
      </c>
      <c r="D76" s="34">
        <v>1.5</v>
      </c>
      <c r="E76" s="34">
        <v>1.0</v>
      </c>
      <c r="F76" s="34" t="s">
        <v>128</v>
      </c>
      <c r="G76" s="34" t="s">
        <v>31</v>
      </c>
      <c r="H76" s="34" t="s">
        <v>23</v>
      </c>
      <c r="I76" s="128">
        <v>45982.0</v>
      </c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</row>
    <row r="77" ht="15.75" customHeight="1" outlineLevel="1">
      <c r="A77" s="34" t="s">
        <v>124</v>
      </c>
      <c r="B77" s="35" t="s">
        <v>785</v>
      </c>
      <c r="C77" s="34" t="s">
        <v>782</v>
      </c>
      <c r="D77" s="34">
        <v>4.0</v>
      </c>
      <c r="E77" s="34">
        <v>2.0</v>
      </c>
      <c r="F77" s="34" t="s">
        <v>128</v>
      </c>
      <c r="G77" s="34" t="s">
        <v>31</v>
      </c>
      <c r="H77" s="34" t="s">
        <v>31</v>
      </c>
      <c r="I77" s="40" t="s">
        <v>792</v>
      </c>
      <c r="J77" s="130"/>
      <c r="K77" s="130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</row>
    <row r="78" ht="15.75" customHeight="1" outlineLevel="1">
      <c r="A78" s="34" t="s">
        <v>512</v>
      </c>
      <c r="B78" s="153" t="s">
        <v>785</v>
      </c>
      <c r="C78" s="153" t="s">
        <v>782</v>
      </c>
      <c r="D78" s="35">
        <v>3.0</v>
      </c>
      <c r="E78" s="35">
        <v>1.0</v>
      </c>
      <c r="F78" s="35" t="s">
        <v>128</v>
      </c>
      <c r="G78" s="34" t="s">
        <v>31</v>
      </c>
      <c r="H78" s="34" t="s">
        <v>31</v>
      </c>
      <c r="I78" s="149">
        <v>45986.0</v>
      </c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</row>
    <row r="79" ht="15.75" customHeight="1" outlineLevel="1">
      <c r="A79" s="34" t="s">
        <v>513</v>
      </c>
      <c r="B79" s="35" t="s">
        <v>785</v>
      </c>
      <c r="C79" s="34" t="s">
        <v>782</v>
      </c>
      <c r="D79" s="34">
        <v>6.0</v>
      </c>
      <c r="E79" s="34">
        <v>2.0</v>
      </c>
      <c r="F79" s="34" t="s">
        <v>128</v>
      </c>
      <c r="G79" s="34" t="s">
        <v>31</v>
      </c>
      <c r="H79" s="34" t="s">
        <v>23</v>
      </c>
      <c r="I79" s="40" t="s">
        <v>799</v>
      </c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</row>
    <row r="80" ht="15.75" customHeight="1" outlineLevel="1">
      <c r="A80" s="34" t="s">
        <v>514</v>
      </c>
      <c r="B80" s="35" t="s">
        <v>790</v>
      </c>
      <c r="C80" s="34" t="s">
        <v>782</v>
      </c>
      <c r="D80" s="35">
        <v>3.0</v>
      </c>
      <c r="E80" s="34">
        <v>1.0</v>
      </c>
      <c r="F80" s="34" t="s">
        <v>128</v>
      </c>
      <c r="G80" s="34" t="s">
        <v>31</v>
      </c>
      <c r="H80" s="34" t="s">
        <v>31</v>
      </c>
      <c r="I80" s="131">
        <v>45975.0</v>
      </c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</row>
    <row r="81" ht="15.75" customHeight="1" outlineLevel="1">
      <c r="A81" s="34" t="s">
        <v>700</v>
      </c>
      <c r="B81" s="35" t="s">
        <v>785</v>
      </c>
      <c r="C81" s="34" t="s">
        <v>782</v>
      </c>
      <c r="D81" s="34">
        <v>1.5</v>
      </c>
      <c r="E81" s="34">
        <v>1.0</v>
      </c>
      <c r="F81" s="34" t="s">
        <v>128</v>
      </c>
      <c r="G81" s="34" t="s">
        <v>31</v>
      </c>
      <c r="H81" s="34" t="s">
        <v>23</v>
      </c>
      <c r="I81" s="169">
        <v>45995.0</v>
      </c>
      <c r="J81" s="393"/>
      <c r="K81" s="394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</row>
    <row r="82" ht="15.75" customHeight="1" outlineLevel="1">
      <c r="A82" s="34" t="s">
        <v>516</v>
      </c>
      <c r="B82" s="35" t="s">
        <v>796</v>
      </c>
      <c r="C82" s="34" t="s">
        <v>782</v>
      </c>
      <c r="D82" s="34">
        <v>1.5</v>
      </c>
      <c r="E82" s="34">
        <v>1.0</v>
      </c>
      <c r="F82" s="34" t="s">
        <v>128</v>
      </c>
      <c r="G82" s="34" t="s">
        <v>23</v>
      </c>
      <c r="H82" s="34" t="s">
        <v>23</v>
      </c>
      <c r="I82" s="131">
        <v>45975.0</v>
      </c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</row>
    <row r="83" ht="15.75" customHeight="1" outlineLevel="1">
      <c r="A83" s="34" t="s">
        <v>646</v>
      </c>
      <c r="B83" s="35" t="s">
        <v>785</v>
      </c>
      <c r="C83" s="34" t="s">
        <v>782</v>
      </c>
      <c r="D83" s="34">
        <v>3.0</v>
      </c>
      <c r="E83" s="34">
        <v>1.0</v>
      </c>
      <c r="F83" s="34" t="s">
        <v>128</v>
      </c>
      <c r="G83" s="34" t="s">
        <v>23</v>
      </c>
      <c r="H83" s="34" t="s">
        <v>31</v>
      </c>
      <c r="I83" s="390">
        <v>45979.0</v>
      </c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</row>
    <row r="84" ht="15.75" customHeight="1" outlineLevel="1">
      <c r="A84" s="35" t="s">
        <v>213</v>
      </c>
      <c r="B84" s="35" t="s">
        <v>785</v>
      </c>
      <c r="C84" s="35" t="s">
        <v>779</v>
      </c>
      <c r="D84" s="34"/>
      <c r="E84" s="34"/>
      <c r="F84" s="35" t="s">
        <v>128</v>
      </c>
      <c r="G84" s="34"/>
      <c r="H84" s="34"/>
      <c r="I84" s="105" t="s">
        <v>800</v>
      </c>
      <c r="J84" s="130" t="s">
        <v>801</v>
      </c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</row>
    <row r="85" ht="15.75" customHeight="1" outlineLevel="1">
      <c r="A85" s="35" t="s">
        <v>305</v>
      </c>
      <c r="B85" s="35" t="s">
        <v>781</v>
      </c>
      <c r="C85" s="35" t="s">
        <v>802</v>
      </c>
      <c r="D85" s="34"/>
      <c r="E85" s="34"/>
      <c r="F85" s="34"/>
      <c r="G85" s="34"/>
      <c r="H85" s="34"/>
      <c r="I85" s="395">
        <v>45993.0</v>
      </c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</row>
    <row r="86" ht="15.75" customHeight="1" outlineLevel="1">
      <c r="A86" s="35" t="s">
        <v>522</v>
      </c>
      <c r="B86" s="35" t="s">
        <v>785</v>
      </c>
      <c r="C86" s="35" t="s">
        <v>782</v>
      </c>
      <c r="D86" s="34"/>
      <c r="E86" s="34"/>
      <c r="F86" s="34"/>
      <c r="G86" s="34"/>
      <c r="H86" s="34"/>
      <c r="I86" s="131">
        <v>45978.0</v>
      </c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</row>
    <row r="87" ht="15.75" customHeight="1" outlineLevel="1">
      <c r="A87" s="35" t="s">
        <v>201</v>
      </c>
      <c r="B87" s="35" t="s">
        <v>803</v>
      </c>
      <c r="C87" s="35" t="s">
        <v>782</v>
      </c>
      <c r="D87" s="34"/>
      <c r="E87" s="34"/>
      <c r="F87" s="34"/>
      <c r="G87" s="34"/>
      <c r="H87" s="34"/>
      <c r="I87" s="396">
        <v>45979.0</v>
      </c>
      <c r="J87" s="130" t="s">
        <v>382</v>
      </c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</row>
    <row r="88" ht="15.75" customHeight="1" outlineLevel="1">
      <c r="A88" s="35" t="s">
        <v>206</v>
      </c>
      <c r="B88" s="35" t="s">
        <v>785</v>
      </c>
      <c r="C88" s="35" t="s">
        <v>779</v>
      </c>
      <c r="D88" s="35">
        <v>2.0</v>
      </c>
      <c r="E88" s="35">
        <v>1.0</v>
      </c>
      <c r="F88" s="35" t="s">
        <v>128</v>
      </c>
      <c r="G88" s="35" t="s">
        <v>392</v>
      </c>
      <c r="H88" s="35" t="s">
        <v>392</v>
      </c>
      <c r="I88" s="217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</row>
    <row r="89" ht="15.75" customHeight="1" outlineLevel="1">
      <c r="A89" s="35" t="s">
        <v>432</v>
      </c>
      <c r="B89" s="35" t="s">
        <v>796</v>
      </c>
      <c r="C89" s="35" t="s">
        <v>779</v>
      </c>
      <c r="D89" s="34"/>
      <c r="E89" s="34"/>
      <c r="F89" s="35" t="s">
        <v>128</v>
      </c>
      <c r="G89" s="35" t="s">
        <v>392</v>
      </c>
      <c r="H89" s="35" t="s">
        <v>392</v>
      </c>
      <c r="I89" s="149">
        <v>45965.0</v>
      </c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</row>
    <row r="90" ht="15.75" customHeight="1" outlineLevel="1">
      <c r="A90" s="35" t="s">
        <v>443</v>
      </c>
      <c r="B90" s="35" t="s">
        <v>785</v>
      </c>
      <c r="C90" s="35" t="s">
        <v>779</v>
      </c>
      <c r="D90" s="35">
        <v>1.5</v>
      </c>
      <c r="E90" s="35">
        <v>1.0</v>
      </c>
      <c r="F90" s="35" t="s">
        <v>128</v>
      </c>
      <c r="G90" s="35" t="s">
        <v>392</v>
      </c>
      <c r="H90" s="35" t="s">
        <v>388</v>
      </c>
      <c r="I90" s="165" t="s">
        <v>804</v>
      </c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</row>
    <row r="91" ht="15.75" customHeight="1" outlineLevel="1">
      <c r="A91" s="35" t="s">
        <v>805</v>
      </c>
      <c r="B91" s="35" t="s">
        <v>788</v>
      </c>
      <c r="C91" s="35" t="s">
        <v>779</v>
      </c>
      <c r="D91" s="34"/>
      <c r="E91" s="34"/>
      <c r="F91" s="35" t="s">
        <v>128</v>
      </c>
      <c r="G91" s="35" t="s">
        <v>392</v>
      </c>
      <c r="H91" s="35" t="s">
        <v>23</v>
      </c>
      <c r="I91" s="149">
        <v>45965.0</v>
      </c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</row>
    <row r="92" ht="15.75" customHeight="1" outlineLevel="1">
      <c r="A92" s="35" t="s">
        <v>316</v>
      </c>
      <c r="B92" s="35" t="s">
        <v>785</v>
      </c>
      <c r="C92" s="35" t="s">
        <v>779</v>
      </c>
      <c r="D92" s="34"/>
      <c r="E92" s="34"/>
      <c r="F92" s="35" t="s">
        <v>128</v>
      </c>
      <c r="G92" s="35" t="s">
        <v>392</v>
      </c>
      <c r="H92" s="35" t="s">
        <v>392</v>
      </c>
      <c r="I92" s="397">
        <v>45974.0</v>
      </c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</row>
    <row r="93" ht="15.75" customHeight="1" outlineLevel="1">
      <c r="A93" s="35" t="s">
        <v>806</v>
      </c>
      <c r="B93" s="35" t="s">
        <v>785</v>
      </c>
      <c r="C93" s="35" t="s">
        <v>779</v>
      </c>
      <c r="D93" s="34"/>
      <c r="E93" s="34"/>
      <c r="F93" s="35" t="s">
        <v>128</v>
      </c>
      <c r="G93" s="35" t="s">
        <v>392</v>
      </c>
      <c r="H93" s="35" t="s">
        <v>392</v>
      </c>
      <c r="I93" s="149">
        <v>45975.0</v>
      </c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</row>
    <row r="94" ht="15.75" customHeight="1" outlineLevel="1">
      <c r="A94" s="34"/>
      <c r="B94" s="34"/>
      <c r="C94" s="34"/>
      <c r="D94" s="34"/>
      <c r="E94" s="34"/>
      <c r="F94" s="34"/>
      <c r="G94" s="34"/>
      <c r="H94" s="34"/>
      <c r="I94" s="34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</row>
    <row r="95" ht="15.75" customHeight="1" outlineLevel="1">
      <c r="A95" s="34"/>
      <c r="B95" s="34"/>
      <c r="C95" s="34"/>
      <c r="D95" s="34">
        <f>SUM(D2:D93)</f>
        <v>155</v>
      </c>
      <c r="E95" s="34"/>
      <c r="F95" s="34"/>
      <c r="G95" s="34"/>
      <c r="H95" s="34"/>
      <c r="I95" s="34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</row>
    <row r="96" ht="15.75" customHeight="1" outlineLevel="1">
      <c r="A96" s="34"/>
      <c r="B96" s="34"/>
      <c r="C96" s="34"/>
      <c r="D96" s="34"/>
      <c r="E96" s="34"/>
      <c r="F96" s="34"/>
      <c r="G96" s="34"/>
      <c r="H96" s="34"/>
      <c r="I96" s="34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</row>
    <row r="97" ht="15.75" customHeight="1" outlineLevel="1">
      <c r="A97" s="34"/>
      <c r="B97" s="34"/>
      <c r="C97" s="34"/>
      <c r="D97" s="34"/>
      <c r="E97" s="34"/>
      <c r="F97" s="34"/>
      <c r="G97" s="34"/>
      <c r="H97" s="34"/>
      <c r="I97" s="34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</row>
    <row r="98" ht="15.75" customHeight="1" outlineLevel="1">
      <c r="A98" s="34"/>
      <c r="B98" s="34"/>
      <c r="C98" s="34"/>
      <c r="D98" s="34"/>
      <c r="E98" s="34"/>
      <c r="F98" s="34"/>
      <c r="G98" s="34"/>
      <c r="H98" s="34"/>
      <c r="I98" s="34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</row>
    <row r="99" ht="15.75" customHeight="1" outlineLevel="1">
      <c r="A99" s="34"/>
      <c r="B99" s="34"/>
      <c r="C99" s="34"/>
      <c r="D99" s="34"/>
      <c r="E99" s="34"/>
      <c r="F99" s="34"/>
      <c r="G99" s="34"/>
      <c r="H99" s="34"/>
      <c r="I99" s="34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</row>
    <row r="100" ht="15.75" customHeight="1" outlineLevel="1">
      <c r="A100" s="34"/>
      <c r="B100" s="34"/>
      <c r="C100" s="34"/>
      <c r="D100" s="34"/>
      <c r="E100" s="34"/>
      <c r="F100" s="34"/>
      <c r="G100" s="34"/>
      <c r="H100" s="34"/>
      <c r="I100" s="34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</row>
    <row r="101" ht="15.75" customHeight="1" outlineLevel="1">
      <c r="A101" s="34"/>
      <c r="B101" s="34"/>
      <c r="C101" s="34"/>
      <c r="D101" s="34"/>
      <c r="E101" s="34"/>
      <c r="F101" s="34"/>
      <c r="G101" s="34"/>
      <c r="H101" s="34"/>
      <c r="I101" s="34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</row>
    <row r="102" ht="15.75" customHeight="1" outlineLevel="1">
      <c r="A102" s="34"/>
      <c r="B102" s="34"/>
      <c r="C102" s="34"/>
      <c r="D102" s="34"/>
      <c r="E102" s="34"/>
      <c r="F102" s="34"/>
      <c r="G102" s="34"/>
      <c r="H102" s="34"/>
      <c r="I102" s="34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</row>
    <row r="103" ht="15.75" customHeight="1" outlineLevel="1">
      <c r="A103" s="34"/>
      <c r="B103" s="34"/>
      <c r="C103" s="34"/>
      <c r="D103" s="34"/>
      <c r="E103" s="34"/>
      <c r="F103" s="34"/>
      <c r="G103" s="34"/>
      <c r="H103" s="34"/>
      <c r="I103" s="34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</row>
    <row r="104" ht="15.75" customHeight="1" outlineLevel="1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</row>
    <row r="105" ht="15.75" customHeight="1">
      <c r="A105" s="118"/>
      <c r="B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</row>
    <row r="106" ht="15.7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</row>
    <row r="107" ht="15.7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</row>
    <row r="108" ht="15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</row>
    <row r="109" ht="15.7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</row>
    <row r="110" ht="15.7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</row>
    <row r="111" ht="15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</row>
    <row r="112" ht="15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</row>
    <row r="113" ht="15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</row>
    <row r="114" ht="15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</row>
    <row r="115" ht="15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</row>
    <row r="116" ht="15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</row>
    <row r="117" ht="15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</row>
    <row r="118" ht="15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</row>
    <row r="119" ht="15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</row>
    <row r="120" ht="15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</row>
    <row r="121" ht="15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</row>
    <row r="122" ht="15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</row>
    <row r="123" ht="15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</row>
    <row r="124" ht="15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</row>
    <row r="125" ht="15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</row>
    <row r="126" ht="15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</row>
    <row r="127" ht="15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</row>
    <row r="128" ht="15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</row>
    <row r="129" ht="15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</row>
    <row r="130" ht="15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</row>
    <row r="131" ht="15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</row>
    <row r="132" ht="15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</row>
    <row r="133" ht="15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</row>
    <row r="134" ht="15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</row>
    <row r="135" ht="15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</row>
    <row r="136" ht="15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</row>
    <row r="137" ht="15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</row>
    <row r="138" ht="15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</row>
    <row r="139" ht="15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</row>
    <row r="140" ht="15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</row>
    <row r="141" ht="15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</row>
    <row r="142" ht="15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</row>
    <row r="143" ht="15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</row>
    <row r="144" ht="15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</row>
    <row r="145" ht="15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</row>
    <row r="146" ht="15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</row>
    <row r="147" ht="15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</row>
    <row r="148" ht="15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</row>
    <row r="149" ht="15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</row>
    <row r="150" ht="15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</row>
    <row r="151" ht="15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</row>
    <row r="152" ht="15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</row>
    <row r="153" ht="15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</row>
    <row r="154" ht="15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</row>
    <row r="155" ht="15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</row>
    <row r="156" ht="15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</row>
    <row r="157" ht="15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</row>
    <row r="158" ht="15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</row>
    <row r="159" ht="15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</row>
    <row r="160" ht="15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</row>
    <row r="161" ht="15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</row>
    <row r="162" ht="15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</row>
    <row r="163" ht="15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</row>
    <row r="164" ht="15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</row>
    <row r="165" ht="15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</row>
    <row r="166" ht="15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</row>
    <row r="167" ht="15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</row>
    <row r="168" ht="15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</row>
    <row r="169" ht="15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</row>
    <row r="170" ht="15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</row>
    <row r="171" ht="15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</row>
    <row r="172" ht="15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</row>
    <row r="173" ht="15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</row>
    <row r="174" ht="15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</row>
    <row r="175" ht="15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</row>
    <row r="176" ht="15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</row>
    <row r="177" ht="15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</row>
    <row r="178" ht="15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</row>
    <row r="179" ht="15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</row>
    <row r="180" ht="15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</row>
    <row r="181" ht="15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</row>
    <row r="182" ht="15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</row>
    <row r="183" ht="15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</row>
    <row r="184" ht="15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</row>
    <row r="185" ht="15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</row>
    <row r="186" ht="15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</row>
    <row r="187" ht="15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</row>
    <row r="188" ht="15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</row>
    <row r="189" ht="15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</row>
    <row r="190" ht="15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</row>
    <row r="191" ht="15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</row>
    <row r="192" ht="15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</row>
    <row r="193" ht="15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</row>
    <row r="194" ht="15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</row>
    <row r="195" ht="15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</row>
    <row r="196" ht="15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</row>
    <row r="197" ht="15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</row>
    <row r="198" ht="15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</row>
    <row r="199" ht="15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</row>
    <row r="200" ht="15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</row>
    <row r="201" ht="15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</row>
    <row r="202" ht="15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</row>
    <row r="203" ht="15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</row>
    <row r="204" ht="15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</row>
    <row r="205" ht="15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</row>
    <row r="206" ht="15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</row>
    <row r="207" ht="15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</row>
    <row r="208" ht="15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</row>
    <row r="209" ht="15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</row>
    <row r="210" ht="15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</row>
    <row r="211" ht="15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</row>
    <row r="212" ht="15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</row>
    <row r="213" ht="15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</row>
    <row r="214" ht="15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</row>
    <row r="215" ht="15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</row>
    <row r="216" ht="15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</row>
    <row r="217" ht="15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</row>
    <row r="218" ht="15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</row>
    <row r="219" ht="15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</row>
    <row r="220" ht="15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</row>
    <row r="221" ht="15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</row>
    <row r="222" ht="15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</row>
    <row r="223" ht="15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</row>
    <row r="224" ht="15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</row>
    <row r="225" ht="15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</row>
    <row r="226" ht="15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</row>
    <row r="227" ht="15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</row>
    <row r="228" ht="15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</row>
    <row r="229" ht="15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</row>
    <row r="230" ht="15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</row>
    <row r="231" ht="15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</row>
    <row r="232" ht="15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</row>
    <row r="233" ht="15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</row>
    <row r="234" ht="15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</row>
    <row r="235" ht="15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</row>
    <row r="236" ht="15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</row>
    <row r="237" ht="15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</row>
    <row r="238" ht="15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</row>
    <row r="239" ht="15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</row>
    <row r="240" ht="15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</row>
    <row r="241" ht="15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</row>
    <row r="242" ht="15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</row>
    <row r="243" ht="15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</row>
    <row r="244" ht="15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</row>
    <row r="245" ht="15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</row>
    <row r="246" ht="15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</row>
    <row r="247" ht="15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</row>
    <row r="248" ht="15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</row>
    <row r="249" ht="15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</row>
    <row r="250" ht="15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</row>
    <row r="251" ht="15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</row>
    <row r="252" ht="15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</row>
    <row r="253" ht="15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</row>
    <row r="254" ht="15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</row>
    <row r="255" ht="15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</row>
    <row r="256" ht="15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</row>
    <row r="257" ht="15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</row>
    <row r="258" ht="15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</row>
    <row r="259" ht="15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</row>
    <row r="260" ht="15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</row>
    <row r="261" ht="15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</row>
    <row r="262" ht="15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</row>
    <row r="263" ht="15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</row>
    <row r="264" ht="15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</row>
    <row r="265" ht="15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</row>
    <row r="266" ht="15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</row>
    <row r="267" ht="15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</row>
    <row r="268" ht="15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</row>
    <row r="269" ht="15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</row>
    <row r="270" ht="15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</row>
    <row r="271" ht="15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</row>
    <row r="272" ht="15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</row>
    <row r="273" ht="15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</row>
    <row r="274" ht="15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</row>
    <row r="275" ht="15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</row>
    <row r="276" ht="15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</row>
    <row r="277" ht="15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</row>
    <row r="278" ht="15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</row>
    <row r="279" ht="15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</row>
    <row r="280" ht="15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</row>
    <row r="281" ht="15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</row>
    <row r="282" ht="15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</row>
    <row r="283" ht="15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</row>
    <row r="284" ht="15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</row>
    <row r="285" ht="15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</row>
    <row r="286" ht="15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</row>
    <row r="287" ht="15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</row>
    <row r="288" ht="15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</row>
    <row r="289" ht="15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</row>
    <row r="290" ht="15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</row>
    <row r="291" ht="15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</row>
    <row r="292" ht="15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</row>
    <row r="293" ht="15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</row>
    <row r="294" ht="15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</row>
    <row r="295" ht="15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</row>
    <row r="296" ht="15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</row>
    <row r="297" ht="15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</row>
    <row r="298" ht="15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</row>
    <row r="299" ht="15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</row>
    <row r="300" ht="15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</row>
    <row r="301" ht="15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</row>
    <row r="302" ht="15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</row>
    <row r="303" ht="15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</row>
    <row r="304" ht="15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</row>
    <row r="305" ht="15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</row>
    <row r="306" ht="15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</row>
    <row r="307" ht="15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</row>
    <row r="308" ht="15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</row>
    <row r="309" ht="15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</row>
    <row r="310" ht="15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</row>
    <row r="311" ht="15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</row>
    <row r="312" ht="15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</row>
    <row r="313" ht="15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</row>
    <row r="314" ht="15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</row>
    <row r="315" ht="15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</row>
    <row r="316" ht="15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</row>
    <row r="317" ht="15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</row>
    <row r="318" ht="15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</row>
    <row r="319" ht="15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</row>
    <row r="320" ht="15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</row>
    <row r="321" ht="15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</row>
    <row r="322" ht="15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</row>
    <row r="323" ht="15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</row>
    <row r="324" ht="15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</row>
    <row r="325" ht="15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</row>
    <row r="326" ht="15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</row>
    <row r="327" ht="15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</row>
    <row r="328" ht="15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</row>
    <row r="329" ht="15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</row>
    <row r="330" ht="15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</row>
    <row r="331" ht="15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</row>
    <row r="332" ht="15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</row>
    <row r="333" ht="15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</row>
    <row r="334" ht="15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</row>
    <row r="335" ht="15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</row>
    <row r="336" ht="15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</row>
    <row r="337" ht="15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</row>
    <row r="338" ht="15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</row>
    <row r="339" ht="15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</row>
    <row r="340" ht="15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</row>
    <row r="341" ht="15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</row>
    <row r="342" ht="15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</row>
    <row r="343" ht="15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</row>
    <row r="344" ht="15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</row>
    <row r="345" ht="15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</row>
    <row r="346" ht="15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</row>
    <row r="347" ht="15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</row>
    <row r="348" ht="15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</row>
    <row r="349" ht="15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</row>
    <row r="350" ht="15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</row>
    <row r="351" ht="15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</row>
    <row r="352" ht="15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</row>
    <row r="353" ht="15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</row>
    <row r="354" ht="15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</row>
    <row r="355" ht="15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</row>
    <row r="356" ht="15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</row>
    <row r="357" ht="15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</row>
    <row r="358" ht="15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</row>
    <row r="359" ht="15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</row>
    <row r="360" ht="15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</row>
    <row r="361" ht="15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</row>
    <row r="362" ht="15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</row>
    <row r="363" ht="15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</row>
    <row r="364" ht="15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</row>
    <row r="365" ht="15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</row>
    <row r="366" ht="15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</row>
    <row r="367" ht="15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</row>
    <row r="368" ht="15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</row>
    <row r="369" ht="15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</row>
    <row r="370" ht="15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</row>
    <row r="371" ht="15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</row>
    <row r="372" ht="15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</row>
    <row r="373" ht="15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</row>
    <row r="374" ht="15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</row>
    <row r="375" ht="15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</row>
    <row r="376" ht="15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</row>
    <row r="377" ht="15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</row>
    <row r="378" ht="15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</row>
    <row r="379" ht="15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</row>
    <row r="380" ht="15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</row>
    <row r="381" ht="15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</row>
    <row r="382" ht="15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</row>
    <row r="383" ht="15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</row>
    <row r="384" ht="15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</row>
    <row r="385" ht="15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</row>
    <row r="386" ht="15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</row>
    <row r="387" ht="15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</row>
    <row r="388" ht="15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</row>
    <row r="389" ht="15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</row>
    <row r="390" ht="15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</row>
    <row r="391" ht="15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</row>
    <row r="392" ht="15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</row>
    <row r="393" ht="15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</row>
    <row r="394" ht="15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</row>
    <row r="395" ht="15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</row>
    <row r="396" ht="15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</row>
    <row r="397" ht="15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</row>
    <row r="398" ht="15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</row>
    <row r="399" ht="15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</row>
    <row r="400" ht="15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</row>
    <row r="401" ht="15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</row>
    <row r="402" ht="15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</row>
    <row r="403" ht="15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</row>
    <row r="404" ht="15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</row>
    <row r="405" ht="15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</row>
    <row r="406" ht="15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</row>
    <row r="407" ht="15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</row>
    <row r="408" ht="15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</row>
    <row r="409" ht="15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</row>
    <row r="410" ht="15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</row>
    <row r="411" ht="15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</row>
    <row r="412" ht="15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</row>
    <row r="413" ht="15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</row>
    <row r="414" ht="15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</row>
    <row r="415" ht="15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</row>
    <row r="416" ht="15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</row>
    <row r="417" ht="15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</row>
    <row r="418" ht="15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</row>
    <row r="419" ht="15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</row>
    <row r="420" ht="15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</row>
    <row r="421" ht="15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</row>
    <row r="422" ht="15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</row>
    <row r="423" ht="15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</row>
    <row r="424" ht="15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</row>
    <row r="425" ht="15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</row>
    <row r="426" ht="15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</row>
    <row r="427" ht="15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</row>
    <row r="428" ht="15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</row>
    <row r="429" ht="15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</row>
    <row r="430" ht="15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</row>
    <row r="431" ht="15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</row>
    <row r="432" ht="15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</row>
    <row r="433" ht="15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</row>
    <row r="434" ht="15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</row>
    <row r="435" ht="15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</row>
    <row r="436" ht="15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</row>
    <row r="437" ht="15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</row>
    <row r="438" ht="15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</row>
    <row r="439" ht="15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</row>
    <row r="440" ht="15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</row>
    <row r="441" ht="15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</row>
    <row r="442" ht="15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</row>
    <row r="443" ht="15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</row>
    <row r="444" ht="15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</row>
    <row r="445" ht="15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</row>
    <row r="446" ht="15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</row>
    <row r="447" ht="15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</row>
    <row r="448" ht="15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</row>
    <row r="449" ht="15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</row>
    <row r="450" ht="15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</row>
    <row r="451" ht="15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</row>
    <row r="452" ht="15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</row>
    <row r="453" ht="15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</row>
    <row r="454" ht="15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</row>
    <row r="455" ht="15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</row>
    <row r="456" ht="15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</row>
    <row r="457" ht="15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</row>
    <row r="458" ht="15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</row>
    <row r="459" ht="15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</row>
    <row r="460" ht="15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</row>
    <row r="461" ht="15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</row>
    <row r="462" ht="15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</row>
    <row r="463" ht="15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</row>
    <row r="464" ht="15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</row>
    <row r="465" ht="15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</row>
    <row r="466" ht="15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</row>
    <row r="467" ht="15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</row>
    <row r="468" ht="15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</row>
    <row r="469" ht="15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</row>
    <row r="470" ht="15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</row>
    <row r="471" ht="15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</row>
    <row r="472" ht="15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</row>
    <row r="473" ht="15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</row>
    <row r="474" ht="15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</row>
    <row r="475" ht="15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</row>
    <row r="476" ht="15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</row>
    <row r="477" ht="15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</row>
    <row r="478" ht="15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</row>
    <row r="479" ht="15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</row>
    <row r="480" ht="15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</row>
    <row r="481" ht="15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</row>
    <row r="482" ht="15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</row>
    <row r="483" ht="15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</row>
    <row r="484" ht="15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</row>
    <row r="485" ht="15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</row>
    <row r="486" ht="15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</row>
    <row r="487" ht="15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</row>
    <row r="488" ht="15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</row>
    <row r="489" ht="15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</row>
    <row r="490" ht="15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</row>
    <row r="491" ht="15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</row>
    <row r="492" ht="15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</row>
    <row r="493" ht="15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</row>
    <row r="494" ht="15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</row>
    <row r="495" ht="15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</row>
    <row r="496" ht="15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</row>
    <row r="497" ht="15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</row>
    <row r="498" ht="15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</row>
    <row r="499" ht="15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</row>
    <row r="500" ht="15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</row>
    <row r="501" ht="15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</row>
    <row r="502" ht="15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</row>
    <row r="503" ht="15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</row>
    <row r="504" ht="15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</row>
    <row r="505" ht="15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</row>
    <row r="506" ht="15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</row>
    <row r="507" ht="15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</row>
    <row r="508" ht="15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</row>
    <row r="509" ht="15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</row>
    <row r="510" ht="15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</row>
    <row r="511" ht="15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</row>
    <row r="512" ht="15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</row>
    <row r="513" ht="15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</row>
    <row r="514" ht="15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</row>
    <row r="515" ht="15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</row>
    <row r="516" ht="15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</row>
    <row r="517" ht="15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</row>
    <row r="518" ht="15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</row>
    <row r="519" ht="15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</row>
    <row r="520" ht="15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</row>
    <row r="521" ht="15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</row>
    <row r="522" ht="15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</row>
    <row r="523" ht="15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</row>
    <row r="524" ht="15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</row>
    <row r="525" ht="15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</row>
    <row r="526" ht="15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</row>
    <row r="527" ht="15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</row>
    <row r="528" ht="15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</row>
    <row r="529" ht="15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</row>
    <row r="530" ht="15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</row>
    <row r="531" ht="15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</row>
    <row r="532" ht="15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</row>
    <row r="533" ht="15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</row>
    <row r="534" ht="15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</row>
    <row r="535" ht="15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</row>
    <row r="536" ht="15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</row>
    <row r="537" ht="15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</row>
    <row r="538" ht="15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</row>
    <row r="539" ht="15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</row>
    <row r="540" ht="15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</row>
    <row r="541" ht="15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</row>
    <row r="542" ht="15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</row>
    <row r="543" ht="15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</row>
    <row r="544" ht="15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</row>
    <row r="545" ht="15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</row>
    <row r="546" ht="15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</row>
    <row r="547" ht="15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</row>
    <row r="548" ht="15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</row>
    <row r="549" ht="15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</row>
    <row r="550" ht="15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</row>
    <row r="551" ht="15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</row>
    <row r="552" ht="15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</row>
    <row r="553" ht="15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</row>
    <row r="554" ht="15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</row>
    <row r="555" ht="15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</row>
    <row r="556" ht="15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</row>
    <row r="557" ht="15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</row>
    <row r="558" ht="15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</row>
    <row r="559" ht="15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</row>
    <row r="560" ht="15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</row>
    <row r="561" ht="15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</row>
    <row r="562" ht="15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</row>
    <row r="563" ht="15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</row>
    <row r="564" ht="15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</row>
    <row r="565" ht="15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</row>
    <row r="566" ht="15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</row>
    <row r="567" ht="15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</row>
    <row r="568" ht="15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</row>
    <row r="569" ht="15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</row>
    <row r="570" ht="15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</row>
    <row r="571" ht="15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</row>
    <row r="572" ht="15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</row>
    <row r="573" ht="15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</row>
    <row r="574" ht="15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</row>
    <row r="575" ht="15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</row>
    <row r="576" ht="15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</row>
    <row r="577" ht="15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</row>
    <row r="578" ht="15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</row>
    <row r="579" ht="15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</row>
    <row r="580" ht="15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</row>
    <row r="581" ht="15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</row>
    <row r="582" ht="15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</row>
    <row r="583" ht="15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</row>
    <row r="584" ht="15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</row>
    <row r="585" ht="15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</row>
    <row r="586" ht="15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</row>
    <row r="587" ht="15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</row>
    <row r="588" ht="15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</row>
    <row r="589" ht="15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</row>
    <row r="590" ht="15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</row>
    <row r="591" ht="15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</row>
    <row r="592" ht="15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</row>
    <row r="593" ht="15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</row>
    <row r="594" ht="15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</row>
    <row r="595" ht="15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</row>
    <row r="596" ht="15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</row>
    <row r="597" ht="15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</row>
    <row r="598" ht="15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</row>
    <row r="599" ht="15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</row>
    <row r="600" ht="15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</row>
    <row r="601" ht="15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</row>
    <row r="602" ht="15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</row>
    <row r="603" ht="15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</row>
    <row r="604" ht="15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</row>
    <row r="605" ht="15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</row>
    <row r="606" ht="15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</row>
    <row r="607" ht="15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</row>
    <row r="608" ht="15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</row>
    <row r="609" ht="15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</row>
    <row r="610" ht="15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</row>
    <row r="611" ht="15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</row>
    <row r="612" ht="15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</row>
    <row r="613" ht="15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</row>
    <row r="614" ht="15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</row>
    <row r="615" ht="15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</row>
    <row r="616" ht="15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</row>
    <row r="617" ht="15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</row>
    <row r="618" ht="15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</row>
    <row r="619" ht="15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</row>
    <row r="620" ht="15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</row>
    <row r="621" ht="15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</row>
    <row r="622" ht="15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</row>
    <row r="623" ht="15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</row>
    <row r="624" ht="15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</row>
    <row r="625" ht="15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</row>
    <row r="626" ht="15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</row>
    <row r="627" ht="15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</row>
    <row r="628" ht="15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</row>
    <row r="629" ht="15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</row>
    <row r="630" ht="15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</row>
    <row r="631" ht="15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</row>
    <row r="632" ht="15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</row>
    <row r="633" ht="15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</row>
    <row r="634" ht="15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</row>
    <row r="635" ht="15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</row>
    <row r="636" ht="15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</row>
    <row r="637" ht="15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</row>
    <row r="638" ht="15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</row>
    <row r="639" ht="15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</row>
    <row r="640" ht="15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</row>
    <row r="641" ht="15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</row>
    <row r="642" ht="15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</row>
    <row r="643" ht="15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</row>
    <row r="644" ht="15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</row>
    <row r="645" ht="15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</row>
    <row r="646" ht="15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</row>
    <row r="647" ht="15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</row>
    <row r="648" ht="15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</row>
    <row r="649" ht="15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</row>
    <row r="650" ht="15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</row>
    <row r="651" ht="15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</row>
    <row r="652" ht="15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</row>
    <row r="653" ht="15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</row>
    <row r="654" ht="15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</row>
    <row r="655" ht="15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</row>
    <row r="656" ht="15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</row>
    <row r="657" ht="15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</row>
    <row r="658" ht="15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</row>
    <row r="659" ht="15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</row>
    <row r="660" ht="15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</row>
    <row r="661" ht="15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</row>
    <row r="662" ht="15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</row>
    <row r="663" ht="15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</row>
    <row r="664" ht="15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</row>
    <row r="665" ht="15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</row>
    <row r="666" ht="15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</row>
    <row r="667" ht="15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</row>
    <row r="668" ht="15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</row>
    <row r="669" ht="15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</row>
    <row r="670" ht="15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</row>
    <row r="671" ht="15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</row>
    <row r="672" ht="15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</row>
    <row r="673" ht="15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</row>
    <row r="674" ht="15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</row>
    <row r="675" ht="15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</row>
    <row r="676" ht="15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</row>
    <row r="677" ht="15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</row>
    <row r="678" ht="15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</row>
    <row r="679" ht="15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</row>
    <row r="680" ht="15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</row>
    <row r="681" ht="15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</row>
    <row r="682" ht="15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</row>
    <row r="683" ht="15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</row>
    <row r="684" ht="15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</row>
    <row r="685" ht="15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</row>
    <row r="686" ht="15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</row>
    <row r="687" ht="15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</row>
    <row r="688" ht="15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</row>
    <row r="689" ht="15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</row>
    <row r="690" ht="15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</row>
    <row r="691" ht="15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</row>
    <row r="692" ht="15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</row>
    <row r="693" ht="15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</row>
    <row r="694" ht="15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</row>
    <row r="695" ht="15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</row>
    <row r="696" ht="15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</row>
    <row r="697" ht="15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</row>
    <row r="698" ht="15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</row>
    <row r="699" ht="15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</row>
    <row r="700" ht="15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</row>
    <row r="701" ht="15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</row>
    <row r="702" ht="15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</row>
    <row r="703" ht="15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</row>
    <row r="704" ht="15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</row>
    <row r="705" ht="15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</row>
    <row r="706" ht="15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</row>
    <row r="707" ht="15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</row>
    <row r="708" ht="15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</row>
    <row r="709" ht="15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</row>
    <row r="710" ht="15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</row>
    <row r="711" ht="15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</row>
    <row r="712" ht="15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</row>
    <row r="713" ht="15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</row>
    <row r="714" ht="15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</row>
    <row r="715" ht="15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</row>
    <row r="716" ht="15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</row>
    <row r="717" ht="15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</row>
    <row r="718" ht="15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</row>
    <row r="719" ht="15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</row>
    <row r="720" ht="15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</row>
    <row r="721" ht="15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</row>
    <row r="722" ht="15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</row>
    <row r="723" ht="15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</row>
    <row r="724" ht="15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</row>
    <row r="725" ht="15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</row>
    <row r="726" ht="15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</row>
    <row r="727" ht="15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</row>
    <row r="728" ht="15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</row>
    <row r="729" ht="15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</row>
    <row r="730" ht="15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</row>
    <row r="731" ht="15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</row>
    <row r="732" ht="15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</row>
    <row r="733" ht="15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</row>
    <row r="734" ht="15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</row>
    <row r="735" ht="15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</row>
    <row r="736" ht="15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</row>
    <row r="737" ht="15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</row>
    <row r="738" ht="15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</row>
    <row r="739" ht="15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</row>
    <row r="740" ht="15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</row>
    <row r="741" ht="15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</row>
    <row r="742" ht="15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</row>
    <row r="743" ht="15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</row>
    <row r="744" ht="15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</row>
    <row r="745" ht="15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</row>
    <row r="746" ht="15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</row>
    <row r="747" ht="15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</row>
    <row r="748" ht="15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</row>
    <row r="749" ht="15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</row>
    <row r="750" ht="15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</row>
    <row r="751" ht="15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</row>
    <row r="752" ht="15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</row>
    <row r="753" ht="15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</row>
    <row r="754" ht="15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</row>
    <row r="755" ht="15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</row>
    <row r="756" ht="15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</row>
    <row r="757" ht="15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</row>
    <row r="758" ht="15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</row>
    <row r="759" ht="15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</row>
    <row r="760" ht="15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</row>
    <row r="761" ht="15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</row>
    <row r="762" ht="15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</row>
    <row r="763" ht="15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</row>
    <row r="764" ht="15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</row>
    <row r="765" ht="15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</row>
    <row r="766" ht="15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</row>
    <row r="767" ht="15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</row>
    <row r="768" ht="15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</row>
    <row r="769" ht="15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</row>
    <row r="770" ht="15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</row>
    <row r="771" ht="15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</row>
    <row r="772" ht="15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</row>
    <row r="773" ht="15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</row>
    <row r="774" ht="15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</row>
    <row r="775" ht="15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</row>
    <row r="776" ht="15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</row>
    <row r="777" ht="15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</row>
    <row r="778" ht="15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</row>
    <row r="779" ht="15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</row>
    <row r="780" ht="15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</row>
    <row r="781" ht="15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</row>
    <row r="782" ht="15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</row>
    <row r="783" ht="15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</row>
    <row r="784" ht="15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</row>
    <row r="785" ht="15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</row>
    <row r="786" ht="15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</row>
    <row r="787" ht="15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</row>
    <row r="788" ht="15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</row>
    <row r="789" ht="15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</row>
    <row r="790" ht="15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</row>
    <row r="791" ht="15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</row>
    <row r="792" ht="15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</row>
    <row r="793" ht="15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</row>
    <row r="794" ht="15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</row>
    <row r="795" ht="15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</row>
    <row r="796" ht="15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</row>
    <row r="797" ht="15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</row>
    <row r="798" ht="15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</row>
    <row r="799" ht="15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</row>
    <row r="800" ht="15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</row>
    <row r="801" ht="15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</row>
    <row r="802" ht="15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</row>
    <row r="803" ht="15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</row>
    <row r="804" ht="15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</row>
    <row r="805" ht="15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</row>
    <row r="806" ht="15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</row>
    <row r="807" ht="15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</row>
    <row r="808" ht="15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</row>
    <row r="809" ht="15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</row>
    <row r="810" ht="15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</row>
    <row r="811" ht="15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</row>
    <row r="812" ht="15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</row>
    <row r="813" ht="15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</row>
    <row r="814" ht="15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</row>
    <row r="815" ht="15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</row>
    <row r="816" ht="15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</row>
    <row r="817" ht="15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</row>
    <row r="818" ht="15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</row>
    <row r="819" ht="15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</row>
    <row r="820" ht="15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</row>
    <row r="821" ht="15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</row>
    <row r="822" ht="15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</row>
    <row r="823" ht="15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</row>
    <row r="824" ht="15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</row>
    <row r="825" ht="15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</row>
    <row r="826" ht="15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</row>
    <row r="827" ht="15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</row>
    <row r="828" ht="15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</row>
    <row r="829" ht="15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</row>
    <row r="830" ht="15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</row>
    <row r="831" ht="15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</row>
    <row r="832" ht="15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</row>
    <row r="833" ht="15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</row>
    <row r="834" ht="15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</row>
    <row r="835" ht="15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</row>
    <row r="836" ht="15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</row>
    <row r="837" ht="15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</row>
    <row r="838" ht="15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</row>
    <row r="839" ht="15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</row>
    <row r="840" ht="15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</row>
    <row r="841" ht="15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</row>
    <row r="842" ht="15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</row>
    <row r="843" ht="15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</row>
    <row r="844" ht="15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</row>
    <row r="845" ht="15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</row>
    <row r="846" ht="15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</row>
    <row r="847" ht="15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</row>
    <row r="848" ht="15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</row>
    <row r="849" ht="15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</row>
    <row r="850" ht="15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</row>
    <row r="851" ht="15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</row>
    <row r="852" ht="15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</row>
    <row r="853" ht="15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</row>
    <row r="854" ht="15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</row>
    <row r="855" ht="15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</row>
    <row r="856" ht="15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</row>
    <row r="857" ht="15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</row>
    <row r="858" ht="15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</row>
    <row r="859" ht="15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</row>
    <row r="860" ht="15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</row>
    <row r="861" ht="15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</row>
    <row r="862" ht="15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</row>
    <row r="863" ht="15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</row>
    <row r="864" ht="15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</row>
    <row r="865" ht="15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</row>
    <row r="866" ht="15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</row>
    <row r="867" ht="15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</row>
    <row r="868" ht="15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</row>
    <row r="869" ht="15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</row>
    <row r="870" ht="15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</row>
    <row r="871" ht="15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</row>
    <row r="872" ht="15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</row>
    <row r="873" ht="15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</row>
    <row r="874" ht="15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</row>
    <row r="875" ht="15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</row>
    <row r="876" ht="15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</row>
    <row r="877" ht="15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</row>
    <row r="878" ht="15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</row>
    <row r="879" ht="15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</row>
    <row r="880" ht="15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</row>
    <row r="881" ht="15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</row>
    <row r="882" ht="15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</row>
    <row r="883" ht="15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</row>
    <row r="884" ht="15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</row>
    <row r="885" ht="15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</row>
    <row r="886" ht="15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</row>
    <row r="887" ht="15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</row>
    <row r="888" ht="15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</row>
    <row r="889" ht="15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</row>
    <row r="890" ht="15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</row>
    <row r="891" ht="15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</row>
    <row r="892" ht="15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</row>
    <row r="893" ht="15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</row>
    <row r="894" ht="15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</row>
    <row r="895" ht="15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</row>
    <row r="896" ht="15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</row>
    <row r="897" ht="15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</row>
    <row r="898" ht="15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</row>
    <row r="899" ht="15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</row>
    <row r="900" ht="15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</row>
    <row r="901" ht="15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</row>
    <row r="902" ht="15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</row>
    <row r="903" ht="15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</row>
    <row r="904" ht="15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</row>
    <row r="905" ht="15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</row>
    <row r="906" ht="15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</row>
    <row r="907" ht="15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</row>
    <row r="908" ht="15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</row>
    <row r="909" ht="15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</row>
    <row r="910" ht="15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</row>
    <row r="911" ht="15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</row>
    <row r="912" ht="15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</row>
    <row r="913" ht="15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</row>
    <row r="914" ht="15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</row>
    <row r="915" ht="15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</row>
    <row r="916" ht="15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</row>
    <row r="917" ht="15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</row>
    <row r="918" ht="15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</row>
    <row r="919" ht="15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</row>
    <row r="920" ht="15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</row>
    <row r="921" ht="15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</row>
    <row r="922" ht="15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</row>
    <row r="923" ht="15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</row>
    <row r="924" ht="15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</row>
    <row r="925" ht="15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</row>
    <row r="926" ht="15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</row>
    <row r="927" ht="15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</row>
    <row r="928" ht="15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</row>
    <row r="929" ht="15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</row>
    <row r="930" ht="15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</row>
    <row r="931" ht="15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</row>
    <row r="932" ht="15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</row>
    <row r="933" ht="15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</row>
    <row r="934" ht="15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</row>
    <row r="935" ht="15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</row>
    <row r="936" ht="15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</row>
    <row r="937" ht="15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</row>
    <row r="938" ht="15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</row>
    <row r="939" ht="15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</row>
    <row r="940" ht="15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</row>
    <row r="941" ht="15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</row>
    <row r="942" ht="15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</row>
    <row r="943" ht="15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</row>
    <row r="944" ht="15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</row>
    <row r="945" ht="15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</row>
    <row r="946" ht="15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</row>
    <row r="947" ht="15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</row>
    <row r="948" ht="15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</row>
    <row r="949" ht="15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</row>
    <row r="950" ht="15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</row>
    <row r="951" ht="15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</row>
    <row r="952" ht="15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</row>
    <row r="953" ht="15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</row>
    <row r="954" ht="15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</row>
    <row r="955" ht="15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</row>
    <row r="956" ht="15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</row>
    <row r="957" ht="15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</row>
    <row r="958" ht="15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</row>
    <row r="959" ht="15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</row>
    <row r="960" ht="15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</row>
    <row r="961" ht="15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</row>
    <row r="962" ht="15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</row>
    <row r="963" ht="15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</row>
    <row r="964" ht="15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</row>
    <row r="965" ht="15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</row>
    <row r="966" ht="15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</row>
    <row r="967" ht="15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</row>
    <row r="968" ht="15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</row>
    <row r="969" ht="15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</row>
    <row r="970" ht="15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</row>
    <row r="971" ht="15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</row>
    <row r="972" ht="15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</row>
    <row r="973" ht="15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</row>
    <row r="974" ht="15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</row>
    <row r="975" ht="15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</row>
    <row r="976" ht="15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</row>
    <row r="977" ht="15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</row>
    <row r="978" ht="15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</row>
    <row r="979" ht="15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</row>
    <row r="980" ht="15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</row>
    <row r="981" ht="15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</row>
    <row r="982" ht="15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</row>
    <row r="983" ht="15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</row>
    <row r="984" ht="15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</row>
    <row r="985" ht="15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</row>
    <row r="986" ht="15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</row>
    <row r="987" ht="15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</row>
    <row r="988" ht="15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</row>
    <row r="989" ht="15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</row>
    <row r="990" ht="15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</row>
    <row r="991" ht="15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</row>
    <row r="992" ht="15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</row>
    <row r="993" ht="15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</row>
    <row r="994" ht="15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</row>
    <row r="995" ht="15.7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</row>
    <row r="996" ht="15.7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</row>
    <row r="997" ht="15.7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</row>
    <row r="998" ht="15.7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</row>
    <row r="999" ht="15.75" customHeight="1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</row>
    <row r="1000" ht="15.75" customHeight="1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</row>
    <row r="1001" ht="15.75" customHeight="1">
      <c r="A1001" s="118"/>
      <c r="B1001" s="118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  <c r="AA1001" s="118"/>
    </row>
    <row r="1002" ht="15.75" customHeight="1">
      <c r="A1002" s="118"/>
      <c r="B1002" s="118"/>
      <c r="C1002" s="118"/>
      <c r="D1002" s="118"/>
      <c r="E1002" s="118"/>
      <c r="F1002" s="118"/>
      <c r="G1002" s="118"/>
      <c r="H1002" s="118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  <c r="AA1002" s="118"/>
    </row>
    <row r="1003" ht="15.75" customHeight="1">
      <c r="A1003" s="118"/>
      <c r="B1003" s="118"/>
      <c r="C1003" s="118"/>
      <c r="D1003" s="118"/>
      <c r="E1003" s="118"/>
      <c r="F1003" s="118"/>
      <c r="G1003" s="118"/>
      <c r="H1003" s="118"/>
      <c r="I1003" s="118"/>
      <c r="J1003" s="118"/>
      <c r="K1003" s="118"/>
      <c r="L1003" s="118"/>
      <c r="M1003" s="118"/>
      <c r="N1003" s="118"/>
      <c r="O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  <c r="Y1003" s="118"/>
      <c r="Z1003" s="118"/>
      <c r="AA1003" s="118"/>
    </row>
    <row r="1004" ht="15.75" customHeight="1">
      <c r="J1004" s="118"/>
      <c r="K1004" s="118"/>
      <c r="L1004" s="118"/>
      <c r="M1004" s="118"/>
      <c r="N1004" s="118"/>
      <c r="O1004" s="118"/>
      <c r="P1004" s="118"/>
      <c r="Q1004" s="118"/>
      <c r="R1004" s="118"/>
      <c r="S1004" s="118"/>
      <c r="T1004" s="118"/>
      <c r="U1004" s="118"/>
      <c r="V1004" s="118"/>
      <c r="W1004" s="118"/>
      <c r="X1004" s="118"/>
      <c r="Y1004" s="118"/>
      <c r="Z1004" s="118"/>
      <c r="AA1004" s="118"/>
    </row>
  </sheetData>
  <mergeCells count="23">
    <mergeCell ref="A1:I1"/>
    <mergeCell ref="L2:M2"/>
    <mergeCell ref="L3:M3"/>
    <mergeCell ref="L4:M4"/>
    <mergeCell ref="L5:M5"/>
    <mergeCell ref="L6:M6"/>
    <mergeCell ref="L7:M7"/>
    <mergeCell ref="L8:M8"/>
    <mergeCell ref="L10:M10"/>
    <mergeCell ref="L11:M11"/>
    <mergeCell ref="L12:M12"/>
    <mergeCell ref="L13:M13"/>
    <mergeCell ref="L14:M14"/>
    <mergeCell ref="L15:M15"/>
    <mergeCell ref="L24:M24"/>
    <mergeCell ref="J84:M84"/>
    <mergeCell ref="L16:M16"/>
    <mergeCell ref="L17:M17"/>
    <mergeCell ref="L18:M18"/>
    <mergeCell ref="K20:M20"/>
    <mergeCell ref="L21:M21"/>
    <mergeCell ref="L22:M22"/>
    <mergeCell ref="L23:M23"/>
  </mergeCells>
  <printOptions/>
  <pageMargins bottom="0.75" footer="0.0" header="0.0" left="0.7" right="0.7" top="0.75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1.14"/>
    <col customWidth="1" min="2" max="2" width="14.71"/>
    <col customWidth="1" min="3" max="4" width="21.57"/>
    <col customWidth="1" min="5" max="5" width="13.29"/>
    <col customWidth="1" min="6" max="6" width="7.43"/>
    <col customWidth="1" min="7" max="7" width="13.29"/>
    <col customWidth="1" min="8" max="8" width="13.57"/>
    <col customWidth="1" min="9" max="9" width="5.86"/>
    <col customWidth="1" min="10" max="10" width="17.43"/>
    <col customWidth="1" min="11" max="11" width="7.86"/>
    <col customWidth="1" min="12" max="12" width="7.29"/>
    <col customWidth="1" min="13" max="14" width="8.71"/>
    <col customWidth="1" min="15" max="15" width="7.43"/>
    <col customWidth="1" min="16" max="16" width="20.57"/>
    <col customWidth="1" min="17" max="17" width="15.86"/>
    <col customWidth="1" min="18" max="18" width="8.86"/>
    <col customWidth="1" min="19" max="19" width="12.14"/>
    <col customWidth="1" min="20" max="33" width="8.86"/>
  </cols>
  <sheetData>
    <row r="1" ht="40.5" customHeight="1">
      <c r="A1" s="1"/>
      <c r="B1" s="2" t="s">
        <v>807</v>
      </c>
      <c r="C1" s="3"/>
      <c r="D1" s="3"/>
      <c r="E1" s="3"/>
      <c r="F1" s="3"/>
      <c r="G1" s="3"/>
      <c r="H1" s="3"/>
      <c r="I1" s="3"/>
      <c r="J1" s="4"/>
      <c r="K1" s="5" t="s">
        <v>1</v>
      </c>
      <c r="L1" s="3"/>
      <c r="M1" s="4"/>
      <c r="N1" s="311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</row>
    <row r="2" ht="39.0" customHeight="1">
      <c r="A2" s="8" t="s">
        <v>2</v>
      </c>
      <c r="B2" s="11" t="s">
        <v>3</v>
      </c>
      <c r="C2" s="12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3" t="s">
        <v>12</v>
      </c>
      <c r="L2" s="13" t="s">
        <v>13</v>
      </c>
      <c r="M2" s="159" t="s">
        <v>14</v>
      </c>
      <c r="N2" s="14" t="s">
        <v>15</v>
      </c>
      <c r="O2" s="398" t="s">
        <v>16</v>
      </c>
      <c r="P2" s="118"/>
      <c r="Q2" s="123" t="s">
        <v>17</v>
      </c>
      <c r="R2" s="124" t="s">
        <v>18</v>
      </c>
      <c r="S2" s="53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</row>
    <row r="3" outlineLevel="1">
      <c r="A3" s="19" t="b">
        <v>0</v>
      </c>
      <c r="B3" s="34" t="s">
        <v>808</v>
      </c>
      <c r="C3" s="35" t="s">
        <v>20</v>
      </c>
      <c r="D3" s="34" t="s">
        <v>21</v>
      </c>
      <c r="E3" s="34">
        <v>1.5</v>
      </c>
      <c r="F3" s="34">
        <v>2.0</v>
      </c>
      <c r="G3" s="34" t="s">
        <v>70</v>
      </c>
      <c r="H3" s="34" t="s">
        <v>23</v>
      </c>
      <c r="I3" s="34" t="s">
        <v>23</v>
      </c>
      <c r="J3" s="131">
        <v>45964.0</v>
      </c>
      <c r="K3" s="19" t="b">
        <v>1</v>
      </c>
      <c r="L3" s="19" t="b">
        <v>1</v>
      </c>
      <c r="M3" s="19" t="b">
        <v>1</v>
      </c>
      <c r="N3" s="19" t="b">
        <v>1</v>
      </c>
      <c r="O3" s="59" t="b">
        <v>1</v>
      </c>
      <c r="P3" s="185" t="s">
        <v>809</v>
      </c>
      <c r="Q3" s="125" t="s">
        <v>27</v>
      </c>
      <c r="R3" s="127" t="s">
        <v>28</v>
      </c>
      <c r="S3" s="33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</row>
    <row r="4" outlineLevel="1">
      <c r="A4" s="19" t="b">
        <v>0</v>
      </c>
      <c r="B4" s="34" t="s">
        <v>391</v>
      </c>
      <c r="C4" s="35" t="s">
        <v>20</v>
      </c>
      <c r="D4" s="34" t="s">
        <v>716</v>
      </c>
      <c r="E4" s="34">
        <v>8.0</v>
      </c>
      <c r="F4" s="34">
        <v>2.0</v>
      </c>
      <c r="G4" s="34" t="s">
        <v>30</v>
      </c>
      <c r="H4" s="34" t="s">
        <v>31</v>
      </c>
      <c r="I4" s="34" t="s">
        <v>31</v>
      </c>
      <c r="J4" s="40" t="s">
        <v>810</v>
      </c>
      <c r="K4" s="19" t="b">
        <v>1</v>
      </c>
      <c r="L4" s="19" t="b">
        <v>1</v>
      </c>
      <c r="M4" s="19" t="b">
        <v>1</v>
      </c>
      <c r="N4" s="19" t="b">
        <v>1</v>
      </c>
      <c r="O4" s="19" t="b">
        <v>1</v>
      </c>
      <c r="P4" s="118"/>
      <c r="Q4" s="34" t="s">
        <v>128</v>
      </c>
      <c r="R4" s="129" t="s">
        <v>141</v>
      </c>
      <c r="S4" s="39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</row>
    <row r="5" outlineLevel="1">
      <c r="A5" s="19" t="b">
        <v>0</v>
      </c>
      <c r="B5" s="34" t="s">
        <v>137</v>
      </c>
      <c r="C5" s="35" t="s">
        <v>20</v>
      </c>
      <c r="D5" s="35" t="s">
        <v>811</v>
      </c>
      <c r="E5" s="35">
        <v>1.5</v>
      </c>
      <c r="F5" s="34">
        <v>2.0</v>
      </c>
      <c r="G5" s="34" t="s">
        <v>226</v>
      </c>
      <c r="H5" s="34" t="s">
        <v>31</v>
      </c>
      <c r="I5" s="34" t="s">
        <v>31</v>
      </c>
      <c r="J5" s="149">
        <v>45937.0</v>
      </c>
      <c r="K5" s="19" t="b">
        <v>1</v>
      </c>
      <c r="L5" s="19" t="b">
        <v>0</v>
      </c>
      <c r="M5" s="19" t="b">
        <v>1</v>
      </c>
      <c r="N5" s="19" t="b">
        <v>0</v>
      </c>
      <c r="O5" s="19" t="b">
        <v>0</v>
      </c>
      <c r="P5" s="118"/>
      <c r="Q5" s="34" t="s">
        <v>34</v>
      </c>
      <c r="R5" s="129" t="s">
        <v>35</v>
      </c>
      <c r="S5" s="39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</row>
    <row r="6" outlineLevel="1">
      <c r="A6" s="19" t="b">
        <v>0</v>
      </c>
      <c r="B6" s="34" t="s">
        <v>812</v>
      </c>
      <c r="C6" s="35" t="s">
        <v>20</v>
      </c>
      <c r="D6" s="35" t="s">
        <v>813</v>
      </c>
      <c r="E6" s="34">
        <v>1.0</v>
      </c>
      <c r="F6" s="34">
        <v>1.0</v>
      </c>
      <c r="G6" s="34" t="s">
        <v>814</v>
      </c>
      <c r="H6" s="34" t="s">
        <v>23</v>
      </c>
      <c r="I6" s="34" t="s">
        <v>23</v>
      </c>
      <c r="J6" s="48" t="s">
        <v>815</v>
      </c>
      <c r="K6" s="19" t="b">
        <v>0</v>
      </c>
      <c r="L6" s="19" t="b">
        <v>0</v>
      </c>
      <c r="M6" s="19" t="b">
        <v>0</v>
      </c>
      <c r="N6" s="19" t="b">
        <v>0</v>
      </c>
      <c r="O6" s="19" t="b">
        <v>0</v>
      </c>
      <c r="P6" s="118"/>
      <c r="Q6" s="34" t="s">
        <v>39</v>
      </c>
      <c r="R6" s="129" t="s">
        <v>40</v>
      </c>
      <c r="S6" s="39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</row>
    <row r="7" outlineLevel="1">
      <c r="A7" s="106" t="b">
        <v>0</v>
      </c>
      <c r="B7" s="140" t="s">
        <v>594</v>
      </c>
      <c r="C7" s="86" t="s">
        <v>20</v>
      </c>
      <c r="D7" s="140" t="s">
        <v>21</v>
      </c>
      <c r="E7" s="140">
        <v>1.0</v>
      </c>
      <c r="F7" s="140">
        <v>1.0</v>
      </c>
      <c r="G7" s="140" t="s">
        <v>22</v>
      </c>
      <c r="H7" s="140" t="s">
        <v>23</v>
      </c>
      <c r="I7" s="140" t="s">
        <v>23</v>
      </c>
      <c r="J7" s="399">
        <v>45828.0</v>
      </c>
      <c r="K7" s="106" t="b">
        <v>1</v>
      </c>
      <c r="L7" s="106" t="b">
        <v>0</v>
      </c>
      <c r="M7" s="106" t="b">
        <v>1</v>
      </c>
      <c r="N7" s="106" t="b">
        <v>1</v>
      </c>
      <c r="O7" s="106" t="b">
        <v>0</v>
      </c>
      <c r="P7" s="130" t="s">
        <v>491</v>
      </c>
      <c r="Q7" s="34" t="s">
        <v>42</v>
      </c>
      <c r="R7" s="129" t="s">
        <v>43</v>
      </c>
      <c r="S7" s="39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</row>
    <row r="8" outlineLevel="1">
      <c r="A8" s="19" t="b">
        <v>0</v>
      </c>
      <c r="B8" s="140" t="s">
        <v>602</v>
      </c>
      <c r="C8" s="86" t="s">
        <v>20</v>
      </c>
      <c r="D8" s="140" t="s">
        <v>21</v>
      </c>
      <c r="E8" s="140">
        <v>1.0</v>
      </c>
      <c r="F8" s="140">
        <v>1.0</v>
      </c>
      <c r="G8" s="140" t="s">
        <v>22</v>
      </c>
      <c r="H8" s="140" t="s">
        <v>23</v>
      </c>
      <c r="I8" s="140" t="s">
        <v>23</v>
      </c>
      <c r="J8" s="400" t="s">
        <v>655</v>
      </c>
      <c r="K8" s="106" t="b">
        <v>1</v>
      </c>
      <c r="L8" s="106" t="b">
        <v>0</v>
      </c>
      <c r="M8" s="106" t="b">
        <v>1</v>
      </c>
      <c r="N8" s="106" t="b">
        <v>1</v>
      </c>
      <c r="O8" s="106" t="b">
        <v>0</v>
      </c>
      <c r="P8" s="130" t="s">
        <v>816</v>
      </c>
      <c r="Q8" s="50" t="s">
        <v>47</v>
      </c>
      <c r="R8" s="370" t="s">
        <v>48</v>
      </c>
      <c r="S8" s="371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</row>
    <row r="9" ht="28.5" customHeight="1" outlineLevel="1">
      <c r="A9" s="19" t="b">
        <v>0</v>
      </c>
      <c r="B9" s="34" t="s">
        <v>316</v>
      </c>
      <c r="C9" s="35" t="s">
        <v>20</v>
      </c>
      <c r="D9" s="35" t="s">
        <v>817</v>
      </c>
      <c r="E9" s="35">
        <v>4.0</v>
      </c>
      <c r="F9" s="35">
        <v>2.0</v>
      </c>
      <c r="G9" s="34" t="s">
        <v>320</v>
      </c>
      <c r="H9" s="34" t="s">
        <v>31</v>
      </c>
      <c r="I9" s="34" t="s">
        <v>31</v>
      </c>
      <c r="J9" s="40" t="s">
        <v>818</v>
      </c>
      <c r="K9" s="19" t="b">
        <v>1</v>
      </c>
      <c r="L9" s="19" t="b">
        <v>0</v>
      </c>
      <c r="M9" s="19" t="b">
        <v>0</v>
      </c>
      <c r="N9" s="19" t="b">
        <v>0</v>
      </c>
      <c r="O9" s="156" t="b">
        <v>0</v>
      </c>
      <c r="P9" s="401" t="s">
        <v>819</v>
      </c>
      <c r="Q9" s="16" t="s">
        <v>154</v>
      </c>
      <c r="R9" s="17" t="s">
        <v>52</v>
      </c>
      <c r="S9" s="53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</row>
    <row r="10" ht="15.0" customHeight="1" outlineLevel="1">
      <c r="A10" s="19" t="b">
        <v>1</v>
      </c>
      <c r="B10" s="34" t="s">
        <v>383</v>
      </c>
      <c r="C10" s="35" t="s">
        <v>20</v>
      </c>
      <c r="D10" s="35" t="s">
        <v>782</v>
      </c>
      <c r="E10" s="35">
        <v>4.0</v>
      </c>
      <c r="F10" s="34">
        <v>2.0</v>
      </c>
      <c r="G10" s="34" t="s">
        <v>226</v>
      </c>
      <c r="H10" s="34" t="s">
        <v>23</v>
      </c>
      <c r="I10" s="34" t="s">
        <v>31</v>
      </c>
      <c r="J10" s="128">
        <v>45957.0</v>
      </c>
      <c r="K10" s="19" t="b">
        <v>1</v>
      </c>
      <c r="L10" s="19" t="b">
        <v>0</v>
      </c>
      <c r="M10" s="19" t="b">
        <v>0</v>
      </c>
      <c r="N10" s="19" t="b">
        <v>0</v>
      </c>
      <c r="O10" s="19" t="b">
        <v>0</v>
      </c>
      <c r="P10" s="118"/>
      <c r="Q10" s="60" t="s">
        <v>57</v>
      </c>
      <c r="R10" s="61" t="s">
        <v>58</v>
      </c>
      <c r="S10" s="33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</row>
    <row r="11" ht="29.25" customHeight="1" outlineLevel="1">
      <c r="A11" s="19" t="b">
        <v>0</v>
      </c>
      <c r="B11" s="34" t="s">
        <v>397</v>
      </c>
      <c r="C11" s="35" t="s">
        <v>20</v>
      </c>
      <c r="D11" s="34" t="s">
        <v>716</v>
      </c>
      <c r="E11" s="34">
        <v>8.0</v>
      </c>
      <c r="F11" s="34">
        <v>2.0</v>
      </c>
      <c r="G11" s="34" t="s">
        <v>30</v>
      </c>
      <c r="H11" s="34" t="s">
        <v>31</v>
      </c>
      <c r="I11" s="34" t="s">
        <v>31</v>
      </c>
      <c r="J11" s="128">
        <v>45947.0</v>
      </c>
      <c r="K11" s="19" t="b">
        <v>1</v>
      </c>
      <c r="L11" s="19" t="b">
        <v>0</v>
      </c>
      <c r="M11" s="19" t="b">
        <v>0</v>
      </c>
      <c r="N11" s="19" t="b">
        <v>0</v>
      </c>
      <c r="O11" s="19" t="b">
        <v>0</v>
      </c>
      <c r="P11" s="118"/>
      <c r="Q11" s="135" t="s">
        <v>334</v>
      </c>
      <c r="R11" s="75" t="s">
        <v>335</v>
      </c>
      <c r="S11" s="39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</row>
    <row r="12" ht="30.75" customHeight="1" outlineLevel="1">
      <c r="A12" s="19" t="b">
        <v>0</v>
      </c>
      <c r="B12" s="34" t="s">
        <v>820</v>
      </c>
      <c r="C12" s="35" t="s">
        <v>77</v>
      </c>
      <c r="D12" s="34" t="s">
        <v>596</v>
      </c>
      <c r="E12" s="34">
        <v>3.5</v>
      </c>
      <c r="F12" s="34">
        <v>2.0</v>
      </c>
      <c r="G12" s="34" t="s">
        <v>58</v>
      </c>
      <c r="H12" s="34" t="s">
        <v>31</v>
      </c>
      <c r="I12" s="34" t="s">
        <v>23</v>
      </c>
      <c r="J12" s="149">
        <v>45993.0</v>
      </c>
      <c r="K12" s="19" t="b">
        <v>1</v>
      </c>
      <c r="L12" s="19" t="b">
        <v>1</v>
      </c>
      <c r="M12" s="19" t="b">
        <v>1</v>
      </c>
      <c r="N12" s="19" t="b">
        <v>1</v>
      </c>
      <c r="O12" s="19" t="b">
        <v>1</v>
      </c>
      <c r="P12" s="118"/>
      <c r="Q12" s="65" t="s">
        <v>62</v>
      </c>
      <c r="R12" s="66" t="s">
        <v>58</v>
      </c>
      <c r="S12" s="33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</row>
    <row r="13" outlineLevel="1">
      <c r="A13" s="19" t="b">
        <v>0</v>
      </c>
      <c r="B13" s="34" t="s">
        <v>821</v>
      </c>
      <c r="C13" s="35" t="s">
        <v>628</v>
      </c>
      <c r="D13" s="34" t="s">
        <v>21</v>
      </c>
      <c r="E13" s="34">
        <v>16.0</v>
      </c>
      <c r="F13" s="34">
        <v>2.0</v>
      </c>
      <c r="G13" s="34" t="s">
        <v>822</v>
      </c>
      <c r="H13" s="34" t="s">
        <v>23</v>
      </c>
      <c r="I13" s="34" t="s">
        <v>23</v>
      </c>
      <c r="J13" s="105" t="s">
        <v>823</v>
      </c>
      <c r="K13" s="19" t="b">
        <v>0</v>
      </c>
      <c r="L13" s="19" t="b">
        <v>0</v>
      </c>
      <c r="M13" s="19" t="b">
        <v>0</v>
      </c>
      <c r="N13" s="19" t="b">
        <v>0</v>
      </c>
      <c r="O13" s="19" t="b">
        <v>0</v>
      </c>
      <c r="P13" s="130" t="s">
        <v>824</v>
      </c>
      <c r="Q13" s="65" t="s">
        <v>66</v>
      </c>
      <c r="R13" s="69" t="s">
        <v>67</v>
      </c>
      <c r="S13" s="39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</row>
    <row r="14" outlineLevel="1">
      <c r="A14" s="19" t="b">
        <v>1</v>
      </c>
      <c r="B14" s="35" t="s">
        <v>825</v>
      </c>
      <c r="C14" s="35" t="s">
        <v>26</v>
      </c>
      <c r="D14" s="34" t="s">
        <v>21</v>
      </c>
      <c r="E14" s="34">
        <v>2.5</v>
      </c>
      <c r="F14" s="34">
        <v>1.0</v>
      </c>
      <c r="G14" s="34" t="s">
        <v>826</v>
      </c>
      <c r="H14" s="34" t="s">
        <v>23</v>
      </c>
      <c r="I14" s="34" t="s">
        <v>23</v>
      </c>
      <c r="J14" s="402">
        <v>45966.0</v>
      </c>
      <c r="K14" s="19" t="b">
        <v>1</v>
      </c>
      <c r="L14" s="19" t="b">
        <v>1</v>
      </c>
      <c r="M14" s="19" t="b">
        <v>1</v>
      </c>
      <c r="N14" s="19" t="b">
        <v>1</v>
      </c>
      <c r="O14" s="19" t="b">
        <v>1</v>
      </c>
      <c r="P14" s="130"/>
      <c r="Q14" s="65"/>
      <c r="R14" s="403"/>
      <c r="S14" s="403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</row>
    <row r="15" outlineLevel="1">
      <c r="A15" s="19" t="b">
        <v>0</v>
      </c>
      <c r="B15" s="34" t="s">
        <v>827</v>
      </c>
      <c r="C15" s="35" t="s">
        <v>20</v>
      </c>
      <c r="D15" s="34" t="s">
        <v>21</v>
      </c>
      <c r="E15" s="34">
        <v>1.0</v>
      </c>
      <c r="F15" s="34">
        <v>1.0</v>
      </c>
      <c r="G15" s="34" t="s">
        <v>22</v>
      </c>
      <c r="H15" s="34" t="s">
        <v>23</v>
      </c>
      <c r="I15" s="34" t="s">
        <v>23</v>
      </c>
      <c r="J15" s="131">
        <v>45965.0</v>
      </c>
      <c r="K15" s="19" t="b">
        <v>1</v>
      </c>
      <c r="L15" s="19" t="b">
        <v>0</v>
      </c>
      <c r="M15" s="19" t="b">
        <v>1</v>
      </c>
      <c r="N15" s="19" t="b">
        <v>1</v>
      </c>
      <c r="O15" s="19" t="b">
        <v>0</v>
      </c>
      <c r="P15" s="118"/>
      <c r="Q15" s="192" t="s">
        <v>343</v>
      </c>
      <c r="R15" s="193" t="s">
        <v>58</v>
      </c>
      <c r="S15" s="39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</row>
    <row r="16" ht="15.0" customHeight="1" outlineLevel="1">
      <c r="A16" s="19" t="b">
        <v>0</v>
      </c>
      <c r="B16" s="34" t="s">
        <v>828</v>
      </c>
      <c r="C16" s="35" t="s">
        <v>20</v>
      </c>
      <c r="D16" s="34" t="s">
        <v>21</v>
      </c>
      <c r="E16" s="34">
        <v>1.5</v>
      </c>
      <c r="F16" s="34">
        <v>2.0</v>
      </c>
      <c r="G16" s="34" t="s">
        <v>70</v>
      </c>
      <c r="H16" s="34" t="s">
        <v>23</v>
      </c>
      <c r="I16" s="34" t="s">
        <v>31</v>
      </c>
      <c r="J16" s="149">
        <v>45994.0</v>
      </c>
      <c r="K16" s="19" t="b">
        <v>1</v>
      </c>
      <c r="L16" s="19" t="b">
        <v>0</v>
      </c>
      <c r="M16" s="19" t="b">
        <v>0</v>
      </c>
      <c r="N16" s="19" t="b">
        <v>0</v>
      </c>
      <c r="O16" s="19" t="b">
        <v>0</v>
      </c>
      <c r="P16" s="118"/>
      <c r="Q16" s="65" t="s">
        <v>345</v>
      </c>
      <c r="R16" s="193" t="s">
        <v>346</v>
      </c>
      <c r="S16" s="39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</row>
    <row r="17" outlineLevel="1">
      <c r="A17" s="19" t="b">
        <v>0</v>
      </c>
      <c r="B17" s="34" t="s">
        <v>155</v>
      </c>
      <c r="C17" s="35" t="s">
        <v>20</v>
      </c>
      <c r="D17" s="34" t="s">
        <v>829</v>
      </c>
      <c r="E17" s="34">
        <v>2.5</v>
      </c>
      <c r="F17" s="34">
        <v>2.0</v>
      </c>
      <c r="G17" s="34" t="s">
        <v>61</v>
      </c>
      <c r="H17" s="34" t="s">
        <v>31</v>
      </c>
      <c r="I17" s="34" t="s">
        <v>31</v>
      </c>
      <c r="J17" s="131">
        <v>45965.0</v>
      </c>
      <c r="K17" s="19" t="b">
        <v>0</v>
      </c>
      <c r="L17" s="19" t="b">
        <v>0</v>
      </c>
      <c r="M17" s="19" t="b">
        <v>0</v>
      </c>
      <c r="N17" s="19" t="b">
        <v>0</v>
      </c>
      <c r="O17" s="156" t="b">
        <v>0</v>
      </c>
      <c r="P17" s="118"/>
      <c r="Q17" s="65" t="s">
        <v>71</v>
      </c>
      <c r="R17" s="72" t="s">
        <v>58</v>
      </c>
      <c r="S17" s="39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</row>
    <row r="18" outlineLevel="1">
      <c r="A18" s="19" t="b">
        <v>0</v>
      </c>
      <c r="B18" s="140" t="s">
        <v>537</v>
      </c>
      <c r="C18" s="86" t="s">
        <v>20</v>
      </c>
      <c r="D18" s="86" t="s">
        <v>811</v>
      </c>
      <c r="E18" s="86">
        <v>4.0</v>
      </c>
      <c r="F18" s="140">
        <v>2.0</v>
      </c>
      <c r="G18" s="86" t="s">
        <v>226</v>
      </c>
      <c r="H18" s="140" t="s">
        <v>23</v>
      </c>
      <c r="I18" s="140" t="s">
        <v>31</v>
      </c>
      <c r="J18" s="294" t="s">
        <v>426</v>
      </c>
      <c r="K18" s="19" t="b">
        <v>0</v>
      </c>
      <c r="L18" s="19" t="b">
        <v>0</v>
      </c>
      <c r="M18" s="19" t="b">
        <v>0</v>
      </c>
      <c r="N18" s="19" t="b">
        <v>0</v>
      </c>
      <c r="O18" s="19" t="b">
        <v>0</v>
      </c>
      <c r="P18" s="215" t="s">
        <v>46</v>
      </c>
      <c r="Q18" s="135"/>
      <c r="R18" s="137"/>
      <c r="S18" s="39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</row>
    <row r="19" outlineLevel="1">
      <c r="A19" s="19" t="b">
        <v>0</v>
      </c>
      <c r="B19" s="140" t="s">
        <v>830</v>
      </c>
      <c r="C19" s="86"/>
      <c r="D19" s="140" t="s">
        <v>21</v>
      </c>
      <c r="E19" s="140">
        <v>3.0</v>
      </c>
      <c r="F19" s="140">
        <v>1.0</v>
      </c>
      <c r="G19" s="140" t="s">
        <v>349</v>
      </c>
      <c r="H19" s="140" t="s">
        <v>23</v>
      </c>
      <c r="I19" s="140" t="s">
        <v>23</v>
      </c>
      <c r="J19" s="294" t="s">
        <v>426</v>
      </c>
      <c r="K19" s="19" t="b">
        <v>0</v>
      </c>
      <c r="L19" s="19" t="b">
        <v>0</v>
      </c>
      <c r="M19" s="19" t="b">
        <v>0</v>
      </c>
      <c r="N19" s="19" t="b">
        <v>0</v>
      </c>
      <c r="O19" s="19" t="b">
        <v>0</v>
      </c>
      <c r="P19" s="215" t="s">
        <v>46</v>
      </c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</row>
    <row r="20" outlineLevel="1">
      <c r="A20" s="19" t="b">
        <v>0</v>
      </c>
      <c r="B20" s="140" t="s">
        <v>407</v>
      </c>
      <c r="C20" s="86" t="s">
        <v>167</v>
      </c>
      <c r="D20" s="140" t="s">
        <v>716</v>
      </c>
      <c r="E20" s="140">
        <v>8.0</v>
      </c>
      <c r="F20" s="140">
        <v>2.0</v>
      </c>
      <c r="G20" s="140" t="s">
        <v>45</v>
      </c>
      <c r="H20" s="140" t="s">
        <v>31</v>
      </c>
      <c r="I20" s="140" t="s">
        <v>31</v>
      </c>
      <c r="J20" s="294" t="s">
        <v>426</v>
      </c>
      <c r="K20" s="19" t="b">
        <v>0</v>
      </c>
      <c r="L20" s="19" t="b">
        <v>0</v>
      </c>
      <c r="M20" s="19" t="b">
        <v>0</v>
      </c>
      <c r="N20" s="19" t="b">
        <v>0</v>
      </c>
      <c r="O20" s="19" t="b">
        <v>0</v>
      </c>
      <c r="P20" s="215" t="s">
        <v>46</v>
      </c>
      <c r="Q20" s="77" t="s">
        <v>79</v>
      </c>
      <c r="R20" s="78"/>
      <c r="S20" s="79"/>
      <c r="U20" s="80" t="s">
        <v>80</v>
      </c>
      <c r="V20" s="73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</row>
    <row r="21" ht="27.0" customHeight="1" outlineLevel="1">
      <c r="A21" s="19" t="b">
        <v>0</v>
      </c>
      <c r="B21" s="34" t="s">
        <v>408</v>
      </c>
      <c r="C21" s="404" t="s">
        <v>20</v>
      </c>
      <c r="D21" s="34" t="s">
        <v>716</v>
      </c>
      <c r="E21" s="34">
        <v>5.5</v>
      </c>
      <c r="F21" s="34">
        <v>2.0</v>
      </c>
      <c r="G21" s="34" t="s">
        <v>45</v>
      </c>
      <c r="H21" s="34" t="s">
        <v>31</v>
      </c>
      <c r="I21" s="34" t="s">
        <v>31</v>
      </c>
      <c r="J21" s="149">
        <v>45944.0</v>
      </c>
      <c r="K21" s="19" t="b">
        <v>1</v>
      </c>
      <c r="L21" s="19" t="b">
        <v>1</v>
      </c>
      <c r="M21" s="19" t="b">
        <v>1</v>
      </c>
      <c r="N21" s="19" t="b">
        <v>1</v>
      </c>
      <c r="O21" s="19" t="b">
        <v>1</v>
      </c>
      <c r="P21" s="118"/>
      <c r="Q21" s="81" t="s">
        <v>83</v>
      </c>
      <c r="R21" s="82" t="s">
        <v>84</v>
      </c>
      <c r="S21" s="83"/>
      <c r="T21" s="84" t="s">
        <v>85</v>
      </c>
      <c r="U21" s="85" t="s">
        <v>86</v>
      </c>
      <c r="V21" s="73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</row>
    <row r="22" ht="15.75" customHeight="1" outlineLevel="1">
      <c r="A22" s="19" t="b">
        <v>0</v>
      </c>
      <c r="B22" s="140" t="s">
        <v>413</v>
      </c>
      <c r="C22" s="86" t="s">
        <v>20</v>
      </c>
      <c r="D22" s="140" t="s">
        <v>21</v>
      </c>
      <c r="E22" s="140">
        <v>8.0</v>
      </c>
      <c r="F22" s="140">
        <v>2.0</v>
      </c>
      <c r="G22" s="140" t="s">
        <v>58</v>
      </c>
      <c r="H22" s="140" t="s">
        <v>31</v>
      </c>
      <c r="I22" s="140" t="s">
        <v>31</v>
      </c>
      <c r="J22" s="294" t="s">
        <v>426</v>
      </c>
      <c r="K22" s="19" t="b">
        <v>0</v>
      </c>
      <c r="L22" s="19" t="b">
        <v>0</v>
      </c>
      <c r="M22" s="19" t="b">
        <v>0</v>
      </c>
      <c r="N22" s="19" t="b">
        <v>0</v>
      </c>
      <c r="O22" s="19" t="b">
        <v>0</v>
      </c>
      <c r="P22" s="215" t="s">
        <v>46</v>
      </c>
      <c r="Q22" s="89" t="s">
        <v>90</v>
      </c>
      <c r="R22" s="82" t="s">
        <v>91</v>
      </c>
      <c r="S22" s="83"/>
      <c r="T22" s="84" t="s">
        <v>85</v>
      </c>
      <c r="U22" s="85" t="s">
        <v>86</v>
      </c>
      <c r="V22" s="73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</row>
    <row r="23" ht="41.25" customHeight="1" outlineLevel="1">
      <c r="A23" s="19" t="b">
        <v>0</v>
      </c>
      <c r="B23" s="34" t="s">
        <v>340</v>
      </c>
      <c r="C23" s="35" t="s">
        <v>20</v>
      </c>
      <c r="D23" s="35" t="s">
        <v>831</v>
      </c>
      <c r="E23" s="35">
        <v>3.0</v>
      </c>
      <c r="F23" s="34">
        <v>1.0</v>
      </c>
      <c r="G23" s="35" t="s">
        <v>226</v>
      </c>
      <c r="H23" s="35" t="s">
        <v>51</v>
      </c>
      <c r="I23" s="34" t="s">
        <v>31</v>
      </c>
      <c r="J23" s="149">
        <v>45965.0</v>
      </c>
      <c r="K23" s="19" t="b">
        <v>0</v>
      </c>
      <c r="L23" s="19" t="b">
        <v>0</v>
      </c>
      <c r="M23" s="19" t="b">
        <v>0</v>
      </c>
      <c r="N23" s="19" t="b">
        <v>0</v>
      </c>
      <c r="O23" s="19" t="b">
        <v>0</v>
      </c>
      <c r="P23" s="118"/>
      <c r="Q23" s="91" t="s">
        <v>92</v>
      </c>
      <c r="R23" s="82" t="s">
        <v>93</v>
      </c>
      <c r="S23" s="83"/>
      <c r="T23" s="84" t="s">
        <v>85</v>
      </c>
      <c r="U23" s="85" t="s">
        <v>94</v>
      </c>
      <c r="V23" s="73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</row>
    <row r="24" ht="15.75" customHeight="1" outlineLevel="1">
      <c r="A24" s="19" t="b">
        <v>0</v>
      </c>
      <c r="B24" s="34" t="s">
        <v>244</v>
      </c>
      <c r="C24" s="35" t="s">
        <v>20</v>
      </c>
      <c r="D24" s="35" t="s">
        <v>811</v>
      </c>
      <c r="E24" s="35">
        <v>1.5</v>
      </c>
      <c r="F24" s="34">
        <v>2.0</v>
      </c>
      <c r="G24" s="34" t="s">
        <v>226</v>
      </c>
      <c r="H24" s="34" t="s">
        <v>23</v>
      </c>
      <c r="I24" s="34" t="s">
        <v>31</v>
      </c>
      <c r="J24" s="131">
        <v>45968.0</v>
      </c>
      <c r="K24" s="19" t="b">
        <v>1</v>
      </c>
      <c r="L24" s="19" t="b">
        <v>0</v>
      </c>
      <c r="M24" s="19" t="b">
        <v>0</v>
      </c>
      <c r="N24" s="19" t="b">
        <v>0</v>
      </c>
      <c r="O24" s="19" t="b">
        <v>0</v>
      </c>
      <c r="P24" s="118"/>
      <c r="Q24" s="93" t="s">
        <v>97</v>
      </c>
      <c r="R24" s="94" t="s">
        <v>98</v>
      </c>
      <c r="S24" s="95"/>
      <c r="T24" s="84" t="s">
        <v>85</v>
      </c>
      <c r="U24" s="85" t="s">
        <v>94</v>
      </c>
      <c r="V24" s="73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</row>
    <row r="25" ht="15.75" customHeight="1" outlineLevel="1">
      <c r="A25" s="106" t="b">
        <v>0</v>
      </c>
      <c r="B25" s="140" t="s">
        <v>621</v>
      </c>
      <c r="C25" s="86" t="s">
        <v>20</v>
      </c>
      <c r="D25" s="140" t="s">
        <v>21</v>
      </c>
      <c r="E25" s="140">
        <v>5.0</v>
      </c>
      <c r="F25" s="140">
        <v>2.0</v>
      </c>
      <c r="G25" s="140" t="s">
        <v>45</v>
      </c>
      <c r="H25" s="140" t="s">
        <v>23</v>
      </c>
      <c r="I25" s="140" t="s">
        <v>31</v>
      </c>
      <c r="J25" s="405">
        <v>45870.0</v>
      </c>
      <c r="K25" s="106" t="b">
        <v>1</v>
      </c>
      <c r="L25" s="106" t="b">
        <v>1</v>
      </c>
      <c r="M25" s="106" t="b">
        <v>1</v>
      </c>
      <c r="N25" s="106" t="b">
        <v>1</v>
      </c>
      <c r="O25" s="106" t="b">
        <v>1</v>
      </c>
      <c r="P25" s="130" t="s">
        <v>447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</row>
    <row r="26" ht="15.75" customHeight="1" outlineLevel="1">
      <c r="A26" s="19" t="b">
        <v>0</v>
      </c>
      <c r="B26" s="34" t="s">
        <v>832</v>
      </c>
      <c r="C26" s="35" t="s">
        <v>20</v>
      </c>
      <c r="D26" s="34" t="s">
        <v>21</v>
      </c>
      <c r="E26" s="34">
        <v>1.5</v>
      </c>
      <c r="F26" s="34">
        <v>1.0</v>
      </c>
      <c r="G26" s="34" t="s">
        <v>22</v>
      </c>
      <c r="H26" s="34" t="s">
        <v>23</v>
      </c>
      <c r="I26" s="34" t="s">
        <v>23</v>
      </c>
      <c r="J26" s="131">
        <v>45961.0</v>
      </c>
      <c r="K26" s="19" t="b">
        <v>1</v>
      </c>
      <c r="L26" s="19" t="b">
        <v>1</v>
      </c>
      <c r="M26" s="19" t="b">
        <v>1</v>
      </c>
      <c r="N26" s="19" t="b">
        <v>1</v>
      </c>
      <c r="O26" s="19" t="b">
        <v>1</v>
      </c>
      <c r="P26" s="118"/>
      <c r="Q26" s="201" t="s">
        <v>362</v>
      </c>
      <c r="R26" s="103">
        <f>(E3*F3)+(E4*F4)+(E5*F5)+(E6*F6)+(E7*F7)+(E8*F8)+(E9*F9)+(E10*F10)+(E11*F11)+(E12*F12)+(E13*F13)+(E15*F15)+(E16*F16)+(E17*F17)+(E18*F18)+(E19*F19)+(E20*F20)+(E21*F21)+(E22*F22)+(E23*F23)+(E24*F24)+(E25*F25)+(E26*F26)+(E27*F27)+(E28*F28)+(E29*F29)+(E30*F30)+(E31*F31)+(E32*F32)+(E34*F34)+(E35*F35)+(E36*F36)+(E37*F37)+(E38*F38)+(E39*F39)+(E40*F40)+(E41*F41)+(E42*F42)+(E44*F44)+(E45*F45)+(E46*F46)+(E47*F47)+(E48*F48)+(E49*F49)+(E50*F50)+(E51*F51)+(E52*F52)+(E53*F53)+(E54*F54)+(E55*F55)+(E56*F56)+(E57*F57)+(E58*F58)+(E59*F59)+(E60*F60)+(E61*F61)+(E62*F62)+(E63*F63)+(E64*F64)+(E65*F65)+(E66*F66)+(E67*F67)+(E68*F68)+(E69*F69)+(E70*F70)+(E71*F71)+(E72*F72)+(E73*F73)+(E74*F74)+(E75*F75)+(E76*F76)+(E77*F77)+(E78*F78)+(E79*F79)+(E80*F80)+(E81*F81)+(E82*F82)+(E83*F83)+(E84*F84)+(E85*F85)+(E86*F86)+(E87*F87)+(E88*F88)+(E89*F89)+(E90*F90)+(E91*F91)+(E92*F92)+(E93*F93)+(E94*F94)+(E95*F95)+(E96*F96)+(E97*F97)+(E98*F98)+(E99*F99)+(E100*F100)+(E101*F101)+(E102*F102)+(E103*F103)+(E104*F104)</f>
        <v>555.5</v>
      </c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</row>
    <row r="27" ht="15.75" customHeight="1" outlineLevel="1">
      <c r="A27" s="19" t="b">
        <v>0</v>
      </c>
      <c r="B27" s="34" t="s">
        <v>833</v>
      </c>
      <c r="C27" s="35" t="s">
        <v>122</v>
      </c>
      <c r="D27" s="34" t="s">
        <v>21</v>
      </c>
      <c r="E27" s="34">
        <v>2.0</v>
      </c>
      <c r="F27" s="34">
        <v>1.0</v>
      </c>
      <c r="G27" s="34" t="s">
        <v>70</v>
      </c>
      <c r="H27" s="34" t="s">
        <v>23</v>
      </c>
      <c r="I27" s="34" t="s">
        <v>23</v>
      </c>
      <c r="J27" s="406">
        <v>45999.0</v>
      </c>
      <c r="K27" s="19" t="b">
        <v>1</v>
      </c>
      <c r="L27" s="19" t="b">
        <v>1</v>
      </c>
      <c r="M27" s="19" t="b">
        <v>1</v>
      </c>
      <c r="N27" s="19" t="b">
        <v>1</v>
      </c>
      <c r="O27" s="59" t="b">
        <v>1</v>
      </c>
      <c r="P27" s="130" t="s">
        <v>717</v>
      </c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</row>
    <row r="28" ht="15.75" customHeight="1" outlineLevel="1">
      <c r="A28" s="19" t="b">
        <v>0</v>
      </c>
      <c r="B28" s="34" t="s">
        <v>250</v>
      </c>
      <c r="C28" s="35" t="s">
        <v>20</v>
      </c>
      <c r="D28" s="35" t="s">
        <v>782</v>
      </c>
      <c r="E28" s="35">
        <v>2.0</v>
      </c>
      <c r="F28" s="35">
        <v>1.0</v>
      </c>
      <c r="G28" s="34" t="s">
        <v>226</v>
      </c>
      <c r="H28" s="34" t="s">
        <v>31</v>
      </c>
      <c r="I28" s="34" t="s">
        <v>31</v>
      </c>
      <c r="J28" s="131">
        <v>45971.0</v>
      </c>
      <c r="K28" s="19" t="b">
        <v>1</v>
      </c>
      <c r="L28" s="19" t="b">
        <v>0</v>
      </c>
      <c r="M28" s="19" t="b">
        <v>0</v>
      </c>
      <c r="N28" s="19" t="b">
        <v>0</v>
      </c>
      <c r="O28" s="19" t="b">
        <v>0</v>
      </c>
      <c r="P28" s="118"/>
      <c r="Q28" s="143" t="s">
        <v>192</v>
      </c>
      <c r="R28" s="144"/>
      <c r="S28" s="18"/>
      <c r="T28" s="103">
        <v>708.0</v>
      </c>
      <c r="U28" s="85"/>
      <c r="V28" s="85" t="s">
        <v>193</v>
      </c>
      <c r="AF28" s="118"/>
      <c r="AG28" s="118"/>
    </row>
    <row r="29" ht="15.75" customHeight="1" outlineLevel="1">
      <c r="A29" s="19" t="b">
        <v>0</v>
      </c>
      <c r="B29" s="140" t="s">
        <v>834</v>
      </c>
      <c r="C29" s="86" t="s">
        <v>253</v>
      </c>
      <c r="D29" s="140" t="s">
        <v>21</v>
      </c>
      <c r="E29" s="140"/>
      <c r="F29" s="140">
        <v>1.0</v>
      </c>
      <c r="G29" s="140" t="s">
        <v>34</v>
      </c>
      <c r="H29" s="140" t="s">
        <v>23</v>
      </c>
      <c r="I29" s="140" t="s">
        <v>23</v>
      </c>
      <c r="J29" s="294" t="s">
        <v>426</v>
      </c>
      <c r="K29" s="19" t="b">
        <v>0</v>
      </c>
      <c r="L29" s="19" t="b">
        <v>0</v>
      </c>
      <c r="M29" s="19" t="b">
        <v>0</v>
      </c>
      <c r="N29" s="19" t="b">
        <v>0</v>
      </c>
      <c r="O29" s="19" t="b">
        <v>0</v>
      </c>
      <c r="P29" s="215" t="s">
        <v>46</v>
      </c>
      <c r="Q29" s="85"/>
      <c r="R29" s="85"/>
      <c r="S29" s="85"/>
      <c r="T29" s="96"/>
      <c r="U29" s="85"/>
      <c r="V29" s="85"/>
      <c r="AF29" s="118"/>
      <c r="AG29" s="118"/>
    </row>
    <row r="30" ht="15.75" customHeight="1" outlineLevel="1">
      <c r="A30" s="19" t="b">
        <v>0</v>
      </c>
      <c r="B30" s="34" t="s">
        <v>629</v>
      </c>
      <c r="C30" s="35" t="s">
        <v>20</v>
      </c>
      <c r="D30" s="34" t="s">
        <v>835</v>
      </c>
      <c r="E30" s="34">
        <v>4.0</v>
      </c>
      <c r="F30" s="34">
        <v>2.0</v>
      </c>
      <c r="G30" s="34" t="s">
        <v>226</v>
      </c>
      <c r="H30" s="34" t="s">
        <v>31</v>
      </c>
      <c r="I30" s="34" t="s">
        <v>31</v>
      </c>
      <c r="J30" s="131">
        <v>45974.0</v>
      </c>
      <c r="K30" s="19" t="b">
        <v>0</v>
      </c>
      <c r="L30" s="19" t="b">
        <v>0</v>
      </c>
      <c r="M30" s="19" t="b">
        <v>0</v>
      </c>
      <c r="N30" s="19" t="b">
        <v>0</v>
      </c>
      <c r="O30" s="19" t="b">
        <v>0</v>
      </c>
      <c r="P30" s="118"/>
      <c r="Q30" s="85"/>
      <c r="R30" s="85"/>
      <c r="S30" s="85"/>
      <c r="T30" s="96"/>
      <c r="U30" s="85"/>
      <c r="V30" s="85"/>
      <c r="AF30" s="118"/>
      <c r="AG30" s="118"/>
    </row>
    <row r="31" ht="15.75" customHeight="1" outlineLevel="1">
      <c r="A31" s="19" t="b">
        <v>0</v>
      </c>
      <c r="B31" s="34" t="s">
        <v>354</v>
      </c>
      <c r="C31" s="35" t="s">
        <v>77</v>
      </c>
      <c r="D31" s="35" t="s">
        <v>779</v>
      </c>
      <c r="E31" s="35">
        <v>1.5</v>
      </c>
      <c r="F31" s="34">
        <v>2.0</v>
      </c>
      <c r="G31" s="35" t="s">
        <v>226</v>
      </c>
      <c r="H31" s="34" t="s">
        <v>31</v>
      </c>
      <c r="I31" s="34" t="s">
        <v>31</v>
      </c>
      <c r="J31" s="128">
        <v>45975.0</v>
      </c>
      <c r="K31" s="19" t="b">
        <v>0</v>
      </c>
      <c r="L31" s="19" t="b">
        <v>0</v>
      </c>
      <c r="M31" s="19" t="b">
        <v>0</v>
      </c>
      <c r="N31" s="19" t="b">
        <v>0</v>
      </c>
      <c r="O31" s="19" t="b">
        <v>0</v>
      </c>
      <c r="P31" s="118"/>
      <c r="Q31" s="141" t="s">
        <v>199</v>
      </c>
      <c r="R31" s="102"/>
      <c r="S31" s="103">
        <f>T28-R26</f>
        <v>152.5</v>
      </c>
      <c r="T31" s="96"/>
      <c r="U31" s="85"/>
      <c r="V31" s="257" t="s">
        <v>744</v>
      </c>
      <c r="W31" s="258"/>
      <c r="X31" s="258"/>
      <c r="Y31" s="258"/>
      <c r="AF31" s="118"/>
      <c r="AG31" s="118"/>
    </row>
    <row r="32" ht="15.75" customHeight="1" outlineLevel="1">
      <c r="A32" s="19" t="b">
        <v>0</v>
      </c>
      <c r="B32" s="140" t="s">
        <v>418</v>
      </c>
      <c r="C32" s="86" t="s">
        <v>20</v>
      </c>
      <c r="D32" s="140" t="s">
        <v>716</v>
      </c>
      <c r="E32" s="140">
        <v>5.0</v>
      </c>
      <c r="F32" s="140">
        <v>2.0</v>
      </c>
      <c r="G32" s="140" t="s">
        <v>58</v>
      </c>
      <c r="H32" s="140" t="s">
        <v>23</v>
      </c>
      <c r="I32" s="140" t="s">
        <v>23</v>
      </c>
      <c r="J32" s="294" t="s">
        <v>426</v>
      </c>
      <c r="K32" s="19" t="b">
        <v>0</v>
      </c>
      <c r="L32" s="19" t="b">
        <v>0</v>
      </c>
      <c r="M32" s="19" t="b">
        <v>0</v>
      </c>
      <c r="N32" s="19" t="b">
        <v>0</v>
      </c>
      <c r="O32" s="19" t="b">
        <v>0</v>
      </c>
      <c r="P32" s="215" t="s">
        <v>46</v>
      </c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</row>
    <row r="33" ht="15.75" customHeight="1" outlineLevel="1">
      <c r="A33" s="19"/>
      <c r="B33" s="35" t="s">
        <v>836</v>
      </c>
      <c r="C33" s="35" t="s">
        <v>20</v>
      </c>
      <c r="D33" s="35" t="s">
        <v>21</v>
      </c>
      <c r="E33" s="35">
        <v>2.0</v>
      </c>
      <c r="F33" s="35">
        <v>1.0</v>
      </c>
      <c r="G33" s="35" t="s">
        <v>223</v>
      </c>
      <c r="H33" s="34"/>
      <c r="I33" s="35" t="s">
        <v>23</v>
      </c>
      <c r="J33" s="407">
        <v>45944.0</v>
      </c>
      <c r="K33" s="19" t="b">
        <v>1</v>
      </c>
      <c r="L33" s="19" t="b">
        <v>0</v>
      </c>
      <c r="M33" s="19" t="b">
        <v>0</v>
      </c>
      <c r="N33" s="19" t="b">
        <v>0</v>
      </c>
      <c r="O33" s="59" t="b">
        <v>0</v>
      </c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</row>
    <row r="34" ht="15.75" customHeight="1" outlineLevel="1">
      <c r="A34" s="19" t="b">
        <v>0</v>
      </c>
      <c r="B34" s="34" t="s">
        <v>551</v>
      </c>
      <c r="C34" s="35" t="s">
        <v>20</v>
      </c>
      <c r="D34" s="34" t="s">
        <v>21</v>
      </c>
      <c r="E34" s="34">
        <v>16.0</v>
      </c>
      <c r="F34" s="34">
        <v>3.0</v>
      </c>
      <c r="G34" s="34" t="s">
        <v>58</v>
      </c>
      <c r="H34" s="34" t="s">
        <v>31</v>
      </c>
      <c r="I34" s="34" t="s">
        <v>31</v>
      </c>
      <c r="J34" s="40" t="s">
        <v>837</v>
      </c>
      <c r="K34" s="19" t="b">
        <v>1</v>
      </c>
      <c r="L34" s="19" t="b">
        <v>1</v>
      </c>
      <c r="M34" s="19" t="b">
        <v>1</v>
      </c>
      <c r="N34" s="19" t="b">
        <v>1</v>
      </c>
      <c r="O34" s="59" t="b">
        <v>1</v>
      </c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</row>
    <row r="35" ht="15.75" customHeight="1" outlineLevel="1">
      <c r="A35" s="19" t="b">
        <v>0</v>
      </c>
      <c r="B35" s="34" t="s">
        <v>422</v>
      </c>
      <c r="C35" s="35" t="s">
        <v>20</v>
      </c>
      <c r="D35" s="34" t="s">
        <v>21</v>
      </c>
      <c r="E35" s="35">
        <v>5.0</v>
      </c>
      <c r="F35" s="34">
        <v>2.0</v>
      </c>
      <c r="G35" s="34" t="s">
        <v>58</v>
      </c>
      <c r="H35" s="34" t="s">
        <v>31</v>
      </c>
      <c r="I35" s="34" t="s">
        <v>31</v>
      </c>
      <c r="J35" s="128">
        <v>46009.0</v>
      </c>
      <c r="K35" s="19" t="b">
        <v>1</v>
      </c>
      <c r="L35" s="19" t="b">
        <v>1</v>
      </c>
      <c r="M35" s="19" t="b">
        <v>1</v>
      </c>
      <c r="N35" s="19" t="b">
        <v>1</v>
      </c>
      <c r="O35" s="19" t="b">
        <v>0</v>
      </c>
      <c r="P35" s="130" t="s">
        <v>51</v>
      </c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</row>
    <row r="36" ht="15.75" customHeight="1" outlineLevel="1">
      <c r="A36" s="19" t="b">
        <v>0</v>
      </c>
      <c r="B36" s="140" t="s">
        <v>425</v>
      </c>
      <c r="C36" s="86" t="s">
        <v>77</v>
      </c>
      <c r="D36" s="140" t="s">
        <v>21</v>
      </c>
      <c r="E36" s="140">
        <v>40.0</v>
      </c>
      <c r="F36" s="140">
        <v>3.0</v>
      </c>
      <c r="G36" s="140" t="s">
        <v>58</v>
      </c>
      <c r="H36" s="140" t="s">
        <v>31</v>
      </c>
      <c r="I36" s="140" t="s">
        <v>31</v>
      </c>
      <c r="J36" s="294" t="s">
        <v>426</v>
      </c>
      <c r="K36" s="19" t="b">
        <v>0</v>
      </c>
      <c r="L36" s="19" t="b">
        <v>0</v>
      </c>
      <c r="M36" s="19" t="b">
        <v>0</v>
      </c>
      <c r="N36" s="19" t="b">
        <v>0</v>
      </c>
      <c r="O36" s="19" t="b">
        <v>0</v>
      </c>
      <c r="P36" s="215" t="s">
        <v>46</v>
      </c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</row>
    <row r="37" ht="15.75" customHeight="1" outlineLevel="1">
      <c r="A37" s="19" t="b">
        <v>1</v>
      </c>
      <c r="B37" s="34" t="s">
        <v>270</v>
      </c>
      <c r="C37" s="35" t="s">
        <v>77</v>
      </c>
      <c r="D37" s="34" t="s">
        <v>838</v>
      </c>
      <c r="E37" s="34">
        <v>4.0</v>
      </c>
      <c r="F37" s="34">
        <v>1.0</v>
      </c>
      <c r="G37" s="34" t="s">
        <v>226</v>
      </c>
      <c r="H37" s="34" t="s">
        <v>31</v>
      </c>
      <c r="I37" s="34" t="s">
        <v>31</v>
      </c>
      <c r="J37" s="131">
        <v>45968.0</v>
      </c>
      <c r="K37" s="19" t="b">
        <v>1</v>
      </c>
      <c r="L37" s="19" t="b">
        <v>0</v>
      </c>
      <c r="M37" s="19" t="b">
        <v>0</v>
      </c>
      <c r="N37" s="19" t="b">
        <v>0</v>
      </c>
      <c r="O37" s="19" t="b">
        <v>0</v>
      </c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</row>
    <row r="38" ht="15.75" customHeight="1" outlineLevel="1">
      <c r="A38" s="19" t="b">
        <v>0</v>
      </c>
      <c r="B38" s="34" t="s">
        <v>839</v>
      </c>
      <c r="C38" s="35" t="s">
        <v>20</v>
      </c>
      <c r="D38" s="34" t="s">
        <v>21</v>
      </c>
      <c r="E38" s="34">
        <v>4.0</v>
      </c>
      <c r="F38" s="34">
        <v>2.0</v>
      </c>
      <c r="G38" s="34" t="s">
        <v>45</v>
      </c>
      <c r="H38" s="34" t="s">
        <v>23</v>
      </c>
      <c r="I38" s="34" t="s">
        <v>23</v>
      </c>
      <c r="J38" s="131">
        <v>45986.0</v>
      </c>
      <c r="K38" s="19" t="b">
        <v>1</v>
      </c>
      <c r="L38" s="19" t="b">
        <v>0</v>
      </c>
      <c r="M38" s="19" t="b">
        <v>0</v>
      </c>
      <c r="N38" s="19" t="b">
        <v>0</v>
      </c>
      <c r="O38" s="19" t="b">
        <v>0</v>
      </c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</row>
    <row r="39" ht="15.75" customHeight="1" outlineLevel="1">
      <c r="A39" s="19" t="b">
        <v>0</v>
      </c>
      <c r="B39" s="34" t="s">
        <v>361</v>
      </c>
      <c r="C39" s="35" t="s">
        <v>20</v>
      </c>
      <c r="D39" s="34" t="s">
        <v>840</v>
      </c>
      <c r="E39" s="34">
        <v>3.5</v>
      </c>
      <c r="F39" s="34">
        <v>2.0</v>
      </c>
      <c r="G39" s="34" t="s">
        <v>58</v>
      </c>
      <c r="H39" s="34" t="s">
        <v>31</v>
      </c>
      <c r="I39" s="34" t="s">
        <v>31</v>
      </c>
      <c r="J39" s="131">
        <v>45966.0</v>
      </c>
      <c r="K39" s="19" t="b">
        <v>1</v>
      </c>
      <c r="L39" s="19" t="b">
        <v>1</v>
      </c>
      <c r="M39" s="19" t="b">
        <v>1</v>
      </c>
      <c r="N39" s="19" t="b">
        <v>1</v>
      </c>
      <c r="O39" s="19" t="b">
        <v>1</v>
      </c>
      <c r="P39" s="130" t="s">
        <v>841</v>
      </c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</row>
    <row r="40" ht="15.75" customHeight="1" outlineLevel="1">
      <c r="A40" s="19" t="b">
        <v>0</v>
      </c>
      <c r="B40" s="34" t="s">
        <v>690</v>
      </c>
      <c r="C40" s="35" t="s">
        <v>20</v>
      </c>
      <c r="D40" s="34" t="s">
        <v>716</v>
      </c>
      <c r="E40" s="34">
        <v>10.0</v>
      </c>
      <c r="F40" s="34">
        <v>2.0</v>
      </c>
      <c r="G40" s="34" t="s">
        <v>58</v>
      </c>
      <c r="H40" s="34" t="s">
        <v>31</v>
      </c>
      <c r="I40" s="34" t="s">
        <v>31</v>
      </c>
      <c r="J40" s="40" t="s">
        <v>842</v>
      </c>
      <c r="K40" s="19" t="b">
        <v>1</v>
      </c>
      <c r="L40" s="19" t="b">
        <v>0</v>
      </c>
      <c r="M40" s="19" t="b">
        <v>0</v>
      </c>
      <c r="N40" s="19" t="b">
        <v>0</v>
      </c>
      <c r="O40" s="19" t="b">
        <v>0</v>
      </c>
      <c r="P40" s="130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</row>
    <row r="41" ht="15.75" customHeight="1" outlineLevel="1">
      <c r="A41" s="19" t="b">
        <v>0</v>
      </c>
      <c r="B41" s="34" t="s">
        <v>843</v>
      </c>
      <c r="C41" s="35" t="s">
        <v>20</v>
      </c>
      <c r="D41" s="34" t="s">
        <v>21</v>
      </c>
      <c r="E41" s="34">
        <v>8.0</v>
      </c>
      <c r="F41" s="34">
        <v>2.0</v>
      </c>
      <c r="G41" s="34" t="s">
        <v>45</v>
      </c>
      <c r="H41" s="34" t="s">
        <v>31</v>
      </c>
      <c r="I41" s="34" t="s">
        <v>23</v>
      </c>
      <c r="J41" s="131">
        <v>45947.0</v>
      </c>
      <c r="K41" s="19" t="b">
        <v>1</v>
      </c>
      <c r="L41" s="19" t="b">
        <v>1</v>
      </c>
      <c r="M41" s="19" t="b">
        <v>1</v>
      </c>
      <c r="N41" s="19" t="b">
        <v>1</v>
      </c>
      <c r="O41" s="19" t="b">
        <v>1</v>
      </c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</row>
    <row r="42" ht="15.75" customHeight="1" outlineLevel="1">
      <c r="A42" s="19" t="b">
        <v>0</v>
      </c>
      <c r="B42" s="34" t="s">
        <v>705</v>
      </c>
      <c r="C42" s="35" t="s">
        <v>20</v>
      </c>
      <c r="D42" s="34" t="s">
        <v>21</v>
      </c>
      <c r="E42" s="34">
        <v>3.0</v>
      </c>
      <c r="F42" s="34">
        <v>2.0</v>
      </c>
      <c r="G42" s="34" t="s">
        <v>58</v>
      </c>
      <c r="H42" s="34" t="s">
        <v>23</v>
      </c>
      <c r="I42" s="34" t="s">
        <v>23</v>
      </c>
      <c r="J42" s="40" t="s">
        <v>844</v>
      </c>
      <c r="K42" s="19" t="b">
        <v>1</v>
      </c>
      <c r="L42" s="19" t="b">
        <v>0</v>
      </c>
      <c r="M42" s="19" t="b">
        <v>1</v>
      </c>
      <c r="N42" s="19" t="b">
        <v>1</v>
      </c>
      <c r="O42" s="19" t="b">
        <v>0</v>
      </c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</row>
    <row r="43" ht="15.75" customHeight="1" outlineLevel="1">
      <c r="A43" s="19" t="b">
        <v>0</v>
      </c>
      <c r="B43" s="35" t="s">
        <v>509</v>
      </c>
      <c r="C43" s="35" t="s">
        <v>20</v>
      </c>
      <c r="D43" s="35" t="s">
        <v>21</v>
      </c>
      <c r="E43" s="35">
        <v>3.0</v>
      </c>
      <c r="F43" s="35">
        <v>2.0</v>
      </c>
      <c r="G43" s="35" t="s">
        <v>70</v>
      </c>
      <c r="H43" s="35" t="s">
        <v>23</v>
      </c>
      <c r="I43" s="35" t="s">
        <v>23</v>
      </c>
      <c r="J43" s="214">
        <v>45952.0</v>
      </c>
      <c r="K43" s="19" t="b">
        <v>1</v>
      </c>
      <c r="L43" s="19" t="b">
        <v>1</v>
      </c>
      <c r="M43" s="19" t="b">
        <v>1</v>
      </c>
      <c r="N43" s="19" t="b">
        <v>1</v>
      </c>
      <c r="O43" s="19" t="b">
        <v>0</v>
      </c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</row>
    <row r="44" ht="15.75" customHeight="1" outlineLevel="1">
      <c r="A44" s="19" t="b">
        <v>0</v>
      </c>
      <c r="B44" s="27" t="s">
        <v>121</v>
      </c>
      <c r="C44" s="28" t="s">
        <v>122</v>
      </c>
      <c r="D44" s="27" t="s">
        <v>123</v>
      </c>
      <c r="E44" s="27">
        <v>2.0</v>
      </c>
      <c r="F44" s="27">
        <v>1.0</v>
      </c>
      <c r="G44" s="34" t="s">
        <v>58</v>
      </c>
      <c r="H44" s="27" t="s">
        <v>23</v>
      </c>
      <c r="I44" s="27" t="s">
        <v>31</v>
      </c>
      <c r="J44" s="131">
        <v>45937.0</v>
      </c>
      <c r="K44" s="19" t="b">
        <v>1</v>
      </c>
      <c r="L44" s="19" t="b">
        <v>0</v>
      </c>
      <c r="M44" s="19" t="b">
        <v>0</v>
      </c>
      <c r="N44" s="19" t="b">
        <v>0</v>
      </c>
      <c r="O44" s="19" t="b">
        <v>0</v>
      </c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</row>
    <row r="45" ht="15.75" customHeight="1" outlineLevel="1">
      <c r="A45" s="19" t="b">
        <v>0</v>
      </c>
      <c r="B45" s="34" t="s">
        <v>845</v>
      </c>
      <c r="C45" s="35" t="s">
        <v>20</v>
      </c>
      <c r="D45" s="34" t="s">
        <v>21</v>
      </c>
      <c r="E45" s="34">
        <v>3.0</v>
      </c>
      <c r="F45" s="34">
        <v>2.0</v>
      </c>
      <c r="G45" s="34" t="s">
        <v>70</v>
      </c>
      <c r="H45" s="34" t="s">
        <v>31</v>
      </c>
      <c r="I45" s="34" t="s">
        <v>23</v>
      </c>
      <c r="J45" s="131">
        <v>45971.0</v>
      </c>
      <c r="K45" s="19" t="b">
        <v>1</v>
      </c>
      <c r="L45" s="19" t="b">
        <v>1</v>
      </c>
      <c r="M45" s="19" t="b">
        <v>1</v>
      </c>
      <c r="N45" s="19" t="b">
        <v>1</v>
      </c>
      <c r="O45" s="19" t="b">
        <v>1</v>
      </c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</row>
    <row r="46" ht="15.75" customHeight="1" outlineLevel="1">
      <c r="A46" s="19" t="b">
        <v>0</v>
      </c>
      <c r="B46" s="34" t="s">
        <v>846</v>
      </c>
      <c r="C46" s="35" t="s">
        <v>20</v>
      </c>
      <c r="D46" s="34" t="s">
        <v>21</v>
      </c>
      <c r="E46" s="34">
        <v>5.0</v>
      </c>
      <c r="F46" s="34">
        <v>2.0</v>
      </c>
      <c r="G46" s="34" t="s">
        <v>45</v>
      </c>
      <c r="H46" s="34" t="s">
        <v>31</v>
      </c>
      <c r="I46" s="34" t="s">
        <v>23</v>
      </c>
      <c r="J46" s="131">
        <v>45958.0</v>
      </c>
      <c r="K46" s="19" t="b">
        <v>1</v>
      </c>
      <c r="L46" s="19" t="b">
        <v>1</v>
      </c>
      <c r="M46" s="19" t="b">
        <v>1</v>
      </c>
      <c r="N46" s="19" t="b">
        <v>1</v>
      </c>
      <c r="O46" s="408" t="b">
        <v>1</v>
      </c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</row>
    <row r="47" ht="15.75" customHeight="1" outlineLevel="1">
      <c r="A47" s="19" t="b">
        <v>0</v>
      </c>
      <c r="B47" s="34" t="s">
        <v>435</v>
      </c>
      <c r="C47" s="35" t="s">
        <v>20</v>
      </c>
      <c r="D47" s="34" t="s">
        <v>716</v>
      </c>
      <c r="E47" s="35">
        <v>8.0</v>
      </c>
      <c r="F47" s="34">
        <v>2.0</v>
      </c>
      <c r="G47" s="34" t="s">
        <v>58</v>
      </c>
      <c r="H47" s="34" t="s">
        <v>31</v>
      </c>
      <c r="I47" s="34" t="s">
        <v>31</v>
      </c>
      <c r="J47" s="136">
        <v>45960.0</v>
      </c>
      <c r="K47" s="19" t="b">
        <v>1</v>
      </c>
      <c r="L47" s="19" t="b">
        <v>1</v>
      </c>
      <c r="M47" s="19" t="b">
        <v>1</v>
      </c>
      <c r="N47" s="19" t="b">
        <v>1</v>
      </c>
      <c r="O47" s="19" t="b">
        <v>1</v>
      </c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</row>
    <row r="48" ht="15.75" customHeight="1" outlineLevel="1">
      <c r="A48" s="19" t="b">
        <v>0</v>
      </c>
      <c r="B48" s="34" t="s">
        <v>847</v>
      </c>
      <c r="C48" s="35" t="s">
        <v>20</v>
      </c>
      <c r="D48" s="34" t="s">
        <v>21</v>
      </c>
      <c r="E48" s="34">
        <v>1.0</v>
      </c>
      <c r="F48" s="34">
        <v>1.0</v>
      </c>
      <c r="G48" s="34" t="s">
        <v>22</v>
      </c>
      <c r="H48" s="34" t="s">
        <v>23</v>
      </c>
      <c r="I48" s="34" t="s">
        <v>23</v>
      </c>
      <c r="J48" s="131">
        <v>45937.0</v>
      </c>
      <c r="K48" s="19" t="b">
        <v>1</v>
      </c>
      <c r="L48" s="19" t="b">
        <v>0</v>
      </c>
      <c r="M48" s="19" t="b">
        <v>1</v>
      </c>
      <c r="N48" s="19" t="b">
        <v>1</v>
      </c>
      <c r="O48" s="19" t="b">
        <v>0</v>
      </c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</row>
    <row r="49" ht="15.75" customHeight="1" outlineLevel="1">
      <c r="A49" s="19" t="b">
        <v>0</v>
      </c>
      <c r="B49" s="34" t="s">
        <v>437</v>
      </c>
      <c r="C49" s="35" t="s">
        <v>20</v>
      </c>
      <c r="D49" s="34" t="s">
        <v>716</v>
      </c>
      <c r="E49" s="34">
        <v>16.0</v>
      </c>
      <c r="F49" s="34">
        <v>2.0</v>
      </c>
      <c r="G49" s="34" t="s">
        <v>357</v>
      </c>
      <c r="H49" s="34" t="s">
        <v>31</v>
      </c>
      <c r="I49" s="34" t="s">
        <v>23</v>
      </c>
      <c r="J49" s="40" t="s">
        <v>848</v>
      </c>
      <c r="K49" s="19" t="b">
        <v>1</v>
      </c>
      <c r="L49" s="19" t="b">
        <v>0</v>
      </c>
      <c r="M49" s="19" t="b">
        <v>0</v>
      </c>
      <c r="N49" s="19" t="b">
        <v>0</v>
      </c>
      <c r="O49" s="19" t="b">
        <v>0</v>
      </c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</row>
    <row r="50" ht="15.75" customHeight="1" outlineLevel="1">
      <c r="A50" s="19" t="b">
        <v>0</v>
      </c>
      <c r="B50" s="34" t="s">
        <v>849</v>
      </c>
      <c r="C50" s="35" t="s">
        <v>20</v>
      </c>
      <c r="D50" s="34" t="s">
        <v>21</v>
      </c>
      <c r="E50" s="34">
        <v>2.0</v>
      </c>
      <c r="F50" s="34">
        <v>1.0</v>
      </c>
      <c r="G50" s="34" t="s">
        <v>22</v>
      </c>
      <c r="H50" s="34" t="s">
        <v>23</v>
      </c>
      <c r="I50" s="34" t="s">
        <v>23</v>
      </c>
      <c r="J50" s="40" t="s">
        <v>850</v>
      </c>
      <c r="K50" s="19" t="b">
        <v>1</v>
      </c>
      <c r="L50" s="19" t="b">
        <v>1</v>
      </c>
      <c r="M50" s="19" t="b">
        <v>1</v>
      </c>
      <c r="N50" s="19" t="b">
        <v>1</v>
      </c>
      <c r="O50" s="19" t="b">
        <v>1</v>
      </c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</row>
    <row r="51" ht="15.75" customHeight="1" outlineLevel="1">
      <c r="A51" s="19" t="b">
        <v>0</v>
      </c>
      <c r="B51" s="35" t="s">
        <v>851</v>
      </c>
      <c r="C51" s="35" t="s">
        <v>20</v>
      </c>
      <c r="D51" s="35" t="s">
        <v>21</v>
      </c>
      <c r="E51" s="35">
        <v>2.0</v>
      </c>
      <c r="F51" s="35">
        <v>4.5</v>
      </c>
      <c r="G51" s="35" t="s">
        <v>45</v>
      </c>
      <c r="H51" s="35"/>
      <c r="I51" s="35"/>
      <c r="J51" s="149">
        <v>45965.0</v>
      </c>
      <c r="K51" s="19" t="b">
        <v>1</v>
      </c>
      <c r="L51" s="19" t="b">
        <v>1</v>
      </c>
      <c r="M51" s="19" t="b">
        <v>1</v>
      </c>
      <c r="N51" s="19" t="b">
        <v>1</v>
      </c>
      <c r="O51" s="19" t="b">
        <v>1</v>
      </c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</row>
    <row r="52" ht="15.75" customHeight="1" outlineLevel="1">
      <c r="A52" s="19" t="b">
        <v>0</v>
      </c>
      <c r="B52" s="35" t="s">
        <v>852</v>
      </c>
      <c r="C52" s="35" t="s">
        <v>20</v>
      </c>
      <c r="D52" s="35" t="s">
        <v>21</v>
      </c>
      <c r="E52" s="35">
        <v>1.0</v>
      </c>
      <c r="F52" s="35">
        <v>1.0</v>
      </c>
      <c r="G52" s="34" t="s">
        <v>22</v>
      </c>
      <c r="H52" s="35" t="s">
        <v>23</v>
      </c>
      <c r="I52" s="35" t="s">
        <v>23</v>
      </c>
      <c r="J52" s="149">
        <v>45961.0</v>
      </c>
      <c r="K52" s="19" t="b">
        <v>1</v>
      </c>
      <c r="L52" s="19" t="b">
        <v>0</v>
      </c>
      <c r="M52" s="19" t="b">
        <v>1</v>
      </c>
      <c r="N52" s="19" t="b">
        <v>1</v>
      </c>
      <c r="O52" s="59" t="b">
        <v>0</v>
      </c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</row>
    <row r="53" ht="15.75" customHeight="1" outlineLevel="1">
      <c r="A53" s="19" t="b">
        <v>0</v>
      </c>
      <c r="B53" s="34" t="s">
        <v>169</v>
      </c>
      <c r="C53" s="35" t="s">
        <v>26</v>
      </c>
      <c r="D53" s="34" t="s">
        <v>170</v>
      </c>
      <c r="E53" s="34"/>
      <c r="F53" s="34"/>
      <c r="G53" s="34"/>
      <c r="H53" s="34" t="s">
        <v>31</v>
      </c>
      <c r="I53" s="34" t="s">
        <v>23</v>
      </c>
      <c r="J53" s="131">
        <v>45953.0</v>
      </c>
      <c r="K53" s="19" t="b">
        <v>0</v>
      </c>
      <c r="L53" s="19" t="b">
        <v>0</v>
      </c>
      <c r="M53" s="19" t="b">
        <v>0</v>
      </c>
      <c r="N53" s="19" t="b">
        <v>0</v>
      </c>
      <c r="O53" s="19" t="b">
        <v>0</v>
      </c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</row>
    <row r="54" ht="15.75" customHeight="1" outlineLevel="1">
      <c r="A54" s="19" t="b">
        <v>0</v>
      </c>
      <c r="B54" s="35" t="s">
        <v>853</v>
      </c>
      <c r="C54" s="35" t="s">
        <v>613</v>
      </c>
      <c r="D54" s="35" t="s">
        <v>21</v>
      </c>
      <c r="E54" s="35">
        <v>8.0</v>
      </c>
      <c r="F54" s="35">
        <v>1.0</v>
      </c>
      <c r="G54" s="35" t="s">
        <v>854</v>
      </c>
      <c r="H54" s="34"/>
      <c r="I54" s="35" t="s">
        <v>23</v>
      </c>
      <c r="J54" s="149">
        <v>45936.0</v>
      </c>
      <c r="K54" s="19" t="b">
        <v>1</v>
      </c>
      <c r="L54" s="19" t="b">
        <v>1</v>
      </c>
      <c r="M54" s="19" t="b">
        <v>1</v>
      </c>
      <c r="N54" s="19" t="b">
        <v>1</v>
      </c>
      <c r="O54" s="59" t="b">
        <v>1</v>
      </c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</row>
    <row r="55" ht="15.75" customHeight="1" outlineLevel="1">
      <c r="A55" s="106" t="b">
        <v>0</v>
      </c>
      <c r="B55" s="86" t="s">
        <v>855</v>
      </c>
      <c r="C55" s="86" t="s">
        <v>175</v>
      </c>
      <c r="D55" s="86" t="s">
        <v>21</v>
      </c>
      <c r="E55" s="86">
        <v>1.0</v>
      </c>
      <c r="F55" s="86">
        <v>1.0</v>
      </c>
      <c r="G55" s="86" t="s">
        <v>856</v>
      </c>
      <c r="H55" s="86" t="s">
        <v>23</v>
      </c>
      <c r="I55" s="86" t="s">
        <v>23</v>
      </c>
      <c r="J55" s="213" t="s">
        <v>46</v>
      </c>
      <c r="K55" s="106" t="b">
        <v>0</v>
      </c>
      <c r="L55" s="106" t="b">
        <v>0</v>
      </c>
      <c r="M55" s="106" t="b">
        <v>0</v>
      </c>
      <c r="N55" s="106" t="b">
        <v>0</v>
      </c>
      <c r="O55" s="409" t="b">
        <v>0</v>
      </c>
      <c r="P55" s="215" t="s">
        <v>46</v>
      </c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</row>
    <row r="56" ht="15.75" customHeight="1" outlineLevel="1">
      <c r="A56" s="19" t="b">
        <v>0</v>
      </c>
      <c r="B56" s="34" t="s">
        <v>857</v>
      </c>
      <c r="C56" s="35" t="s">
        <v>20</v>
      </c>
      <c r="D56" s="34" t="s">
        <v>21</v>
      </c>
      <c r="E56" s="35">
        <v>1.0</v>
      </c>
      <c r="F56" s="35">
        <v>1.0</v>
      </c>
      <c r="G56" s="35" t="s">
        <v>34</v>
      </c>
      <c r="H56" s="34"/>
      <c r="I56" s="34"/>
      <c r="J56" s="131">
        <v>45957.0</v>
      </c>
      <c r="K56" s="19" t="b">
        <v>1</v>
      </c>
      <c r="L56" s="19" t="b">
        <v>0</v>
      </c>
      <c r="M56" s="19" t="b">
        <v>1</v>
      </c>
      <c r="N56" s="19" t="b">
        <v>1</v>
      </c>
      <c r="O56" s="59" t="b">
        <v>0</v>
      </c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</row>
    <row r="57" ht="15.75" customHeight="1" outlineLevel="1">
      <c r="A57" s="19" t="b">
        <v>0</v>
      </c>
      <c r="B57" s="34" t="s">
        <v>557</v>
      </c>
      <c r="C57" s="35" t="s">
        <v>195</v>
      </c>
      <c r="D57" s="34" t="s">
        <v>21</v>
      </c>
      <c r="E57" s="34">
        <v>8.0</v>
      </c>
      <c r="F57" s="35">
        <v>3.0</v>
      </c>
      <c r="G57" s="34" t="s">
        <v>558</v>
      </c>
      <c r="H57" s="34" t="s">
        <v>31</v>
      </c>
      <c r="I57" s="34" t="s">
        <v>23</v>
      </c>
      <c r="J57" s="40" t="s">
        <v>858</v>
      </c>
      <c r="K57" s="19" t="b">
        <v>1</v>
      </c>
      <c r="L57" s="19" t="b">
        <v>1</v>
      </c>
      <c r="M57" s="202" t="b">
        <v>1</v>
      </c>
      <c r="N57" s="202" t="b">
        <v>1</v>
      </c>
      <c r="O57" s="202" t="b">
        <v>1</v>
      </c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</row>
    <row r="58" ht="15.75" customHeight="1" outlineLevel="1">
      <c r="A58" s="19" t="b">
        <v>0</v>
      </c>
      <c r="B58" s="34" t="s">
        <v>689</v>
      </c>
      <c r="C58" s="35" t="s">
        <v>20</v>
      </c>
      <c r="D58" s="34" t="s">
        <v>21</v>
      </c>
      <c r="E58" s="34">
        <v>1.0</v>
      </c>
      <c r="F58" s="34">
        <v>1.0</v>
      </c>
      <c r="G58" s="34" t="s">
        <v>34</v>
      </c>
      <c r="H58" s="34" t="s">
        <v>23</v>
      </c>
      <c r="I58" s="34" t="s">
        <v>23</v>
      </c>
      <c r="J58" s="131">
        <v>45952.0</v>
      </c>
      <c r="K58" s="19" t="b">
        <v>1</v>
      </c>
      <c r="L58" s="19" t="b">
        <v>0</v>
      </c>
      <c r="M58" s="19" t="b">
        <v>1</v>
      </c>
      <c r="N58" s="19" t="b">
        <v>1</v>
      </c>
      <c r="O58" s="19" t="b">
        <v>0</v>
      </c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</row>
    <row r="59" ht="15.75" customHeight="1" outlineLevel="1">
      <c r="A59" s="19" t="b">
        <v>0</v>
      </c>
      <c r="B59" s="35" t="s">
        <v>685</v>
      </c>
      <c r="C59" s="35" t="s">
        <v>20</v>
      </c>
      <c r="D59" s="35" t="s">
        <v>21</v>
      </c>
      <c r="E59" s="35">
        <v>1.0</v>
      </c>
      <c r="F59" s="35">
        <v>1.0</v>
      </c>
      <c r="G59" s="35" t="s">
        <v>22</v>
      </c>
      <c r="H59" s="35" t="s">
        <v>23</v>
      </c>
      <c r="I59" s="35" t="s">
        <v>23</v>
      </c>
      <c r="J59" s="131">
        <v>45959.0</v>
      </c>
      <c r="K59" s="19" t="b">
        <v>1</v>
      </c>
      <c r="L59" s="19" t="b">
        <v>0</v>
      </c>
      <c r="M59" s="19" t="b">
        <v>1</v>
      </c>
      <c r="N59" s="19" t="b">
        <v>1</v>
      </c>
      <c r="O59" s="19" t="b">
        <v>0</v>
      </c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</row>
    <row r="60" ht="15.75" customHeight="1" outlineLevel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155"/>
      <c r="L60" s="155"/>
      <c r="M60" s="155"/>
      <c r="N60" s="155"/>
      <c r="O60" s="155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</row>
    <row r="61" ht="15.75" customHeight="1" outlineLevel="1">
      <c r="A61" s="34"/>
      <c r="B61" s="34"/>
      <c r="C61" s="34"/>
      <c r="D61" s="34"/>
      <c r="E61" s="34">
        <f>SUM(E2:E59)</f>
        <v>269.5</v>
      </c>
      <c r="F61" s="34"/>
      <c r="G61" s="34"/>
      <c r="H61" s="34"/>
      <c r="I61" s="34"/>
      <c r="J61" s="34"/>
      <c r="K61" s="155"/>
      <c r="L61" s="155"/>
      <c r="M61" s="155"/>
      <c r="N61" s="155"/>
      <c r="O61" s="155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</row>
    <row r="62" ht="15.75" customHeight="1" outlineLevel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155"/>
      <c r="L62" s="155"/>
      <c r="M62" s="155"/>
      <c r="N62" s="155"/>
      <c r="O62" s="155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</row>
    <row r="63" ht="15.75" customHeight="1" outlineLevel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155"/>
      <c r="L63" s="155"/>
      <c r="M63" s="155"/>
      <c r="N63" s="155"/>
      <c r="O63" s="155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</row>
    <row r="64" ht="15.75" customHeight="1" outlineLevel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155"/>
      <c r="L64" s="155"/>
      <c r="M64" s="155"/>
      <c r="N64" s="155"/>
      <c r="O64" s="155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</row>
    <row r="65" ht="15.75" customHeight="1" outlineLevel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155"/>
      <c r="L65" s="155"/>
      <c r="M65" s="155"/>
      <c r="N65" s="155"/>
      <c r="O65" s="155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</row>
    <row r="66" ht="15.75" customHeight="1" outlineLevel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155"/>
      <c r="L66" s="155"/>
      <c r="M66" s="155"/>
      <c r="N66" s="155"/>
      <c r="O66" s="155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</row>
    <row r="67" ht="15.75" customHeight="1" outlineLevel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155"/>
      <c r="L67" s="155"/>
      <c r="M67" s="155"/>
      <c r="N67" s="155"/>
      <c r="O67" s="155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</row>
    <row r="68" ht="15.75" customHeight="1" outlineLevel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155"/>
      <c r="L68" s="155"/>
      <c r="M68" s="155"/>
      <c r="N68" s="155"/>
      <c r="O68" s="155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</row>
    <row r="69" ht="15.75" customHeight="1" outlineLevel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155"/>
      <c r="L69" s="155"/>
      <c r="M69" s="155"/>
      <c r="N69" s="155"/>
      <c r="O69" s="155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</row>
    <row r="70" ht="15.75" customHeight="1" outlineLevel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155"/>
      <c r="L70" s="155"/>
      <c r="M70" s="155"/>
      <c r="N70" s="155"/>
      <c r="O70" s="155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</row>
    <row r="71" ht="15.75" customHeight="1" outlineLevel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155"/>
      <c r="L71" s="155"/>
      <c r="M71" s="155"/>
      <c r="N71" s="155"/>
      <c r="O71" s="155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</row>
    <row r="72" ht="15.75" customHeight="1" outlineLevel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155"/>
      <c r="L72" s="155"/>
      <c r="M72" s="155"/>
      <c r="N72" s="155"/>
      <c r="O72" s="155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</row>
    <row r="73" ht="15.75" customHeight="1" outlineLevel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155"/>
      <c r="L73" s="155"/>
      <c r="M73" s="155"/>
      <c r="N73" s="155"/>
      <c r="O73" s="155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</row>
    <row r="74" ht="15.75" customHeight="1" outlineLevel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155"/>
      <c r="L74" s="155"/>
      <c r="M74" s="155"/>
      <c r="N74" s="155"/>
      <c r="O74" s="155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</row>
    <row r="75" ht="15.75" customHeight="1" outlineLevel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155"/>
      <c r="L75" s="155"/>
      <c r="M75" s="155"/>
      <c r="N75" s="155"/>
      <c r="O75" s="155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</row>
    <row r="76" ht="15.75" customHeight="1" outlineLevel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155"/>
      <c r="L76" s="155"/>
      <c r="M76" s="155"/>
      <c r="N76" s="155"/>
      <c r="O76" s="155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</row>
    <row r="77" ht="15.75" customHeight="1" outlineLevel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155"/>
      <c r="L77" s="155"/>
      <c r="M77" s="155"/>
      <c r="N77" s="155"/>
      <c r="O77" s="155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</row>
    <row r="78" ht="15.75" customHeight="1" outlineLevel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155"/>
      <c r="L78" s="155"/>
      <c r="M78" s="155"/>
      <c r="N78" s="155"/>
      <c r="O78" s="155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</row>
    <row r="79" ht="15.75" customHeight="1" outlineLevel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155"/>
      <c r="L79" s="155"/>
      <c r="M79" s="155"/>
      <c r="N79" s="155"/>
      <c r="O79" s="155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</row>
    <row r="80" ht="15.75" customHeight="1" outlineLevel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155"/>
      <c r="L80" s="155"/>
      <c r="M80" s="155"/>
      <c r="N80" s="155"/>
      <c r="O80" s="155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</row>
    <row r="81" ht="15.75" customHeight="1" outlineLevel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155"/>
      <c r="L81" s="155"/>
      <c r="M81" s="155"/>
      <c r="N81" s="155"/>
      <c r="O81" s="155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</row>
    <row r="82" ht="15.75" customHeight="1" outlineLevel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155"/>
      <c r="L82" s="155"/>
      <c r="M82" s="155"/>
      <c r="N82" s="155"/>
      <c r="O82" s="155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</row>
    <row r="83" ht="15.75" customHeight="1" outlineLevel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155"/>
      <c r="L83" s="155"/>
      <c r="M83" s="155"/>
      <c r="N83" s="155"/>
      <c r="O83" s="155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</row>
    <row r="84" ht="15.75" customHeight="1" outlineLevel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155"/>
      <c r="L84" s="155"/>
      <c r="M84" s="155"/>
      <c r="N84" s="155"/>
      <c r="O84" s="155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</row>
    <row r="85" ht="15.75" customHeight="1" outlineLevel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155"/>
      <c r="L85" s="155"/>
      <c r="M85" s="155"/>
      <c r="N85" s="155"/>
      <c r="O85" s="155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</row>
    <row r="86" ht="15.75" customHeight="1" outlineLevel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155"/>
      <c r="L86" s="155"/>
      <c r="M86" s="155"/>
      <c r="N86" s="155"/>
      <c r="O86" s="155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</row>
    <row r="87" ht="15.75" customHeight="1" outlineLevel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155"/>
      <c r="L87" s="155"/>
      <c r="M87" s="155"/>
      <c r="N87" s="155"/>
      <c r="O87" s="155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</row>
    <row r="88" ht="15.75" customHeight="1" outlineLevel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155"/>
      <c r="L88" s="155"/>
      <c r="M88" s="155"/>
      <c r="N88" s="155"/>
      <c r="O88" s="155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</row>
    <row r="89" ht="15.75" customHeight="1" outlineLevel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155"/>
      <c r="L89" s="155"/>
      <c r="M89" s="155"/>
      <c r="N89" s="155"/>
      <c r="O89" s="155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</row>
    <row r="90" ht="15.75" customHeight="1" outlineLevel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155"/>
      <c r="L90" s="155"/>
      <c r="M90" s="155"/>
      <c r="N90" s="155"/>
      <c r="O90" s="155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</row>
    <row r="91" ht="15.75" customHeight="1" outlineLevel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155"/>
      <c r="L91" s="155"/>
      <c r="M91" s="155"/>
      <c r="N91" s="155"/>
      <c r="O91" s="155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</row>
    <row r="92" ht="15.75" customHeight="1" outlineLevel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155"/>
      <c r="L92" s="155"/>
      <c r="M92" s="155"/>
      <c r="N92" s="155"/>
      <c r="O92" s="155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</row>
    <row r="93" ht="15.75" customHeight="1" outlineLevel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155"/>
      <c r="L93" s="155"/>
      <c r="M93" s="155"/>
      <c r="N93" s="155"/>
      <c r="O93" s="155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</row>
    <row r="94" ht="15.75" customHeight="1" outlineLevel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155"/>
      <c r="L94" s="155"/>
      <c r="M94" s="155"/>
      <c r="N94" s="155"/>
      <c r="O94" s="155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</row>
    <row r="95" ht="15.75" customHeight="1" outlineLevel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155"/>
      <c r="L95" s="155"/>
      <c r="M95" s="155"/>
      <c r="N95" s="155"/>
      <c r="O95" s="155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</row>
    <row r="96" ht="15.75" customHeight="1" outlineLevel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155"/>
      <c r="L96" s="155"/>
      <c r="M96" s="155"/>
      <c r="N96" s="155"/>
      <c r="O96" s="155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</row>
    <row r="97" ht="15.75" customHeight="1" outlineLevel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155"/>
      <c r="L97" s="155"/>
      <c r="M97" s="155"/>
      <c r="N97" s="155"/>
      <c r="O97" s="155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</row>
    <row r="98" ht="15.75" customHeight="1" outlineLevel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155"/>
      <c r="L98" s="155"/>
      <c r="M98" s="155"/>
      <c r="N98" s="155"/>
      <c r="O98" s="155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</row>
    <row r="99" ht="15.75" customHeight="1" outlineLevel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155"/>
      <c r="L99" s="155"/>
      <c r="M99" s="155"/>
      <c r="N99" s="155"/>
      <c r="O99" s="155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</row>
    <row r="100" ht="15.75" customHeight="1" outlineLevel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155"/>
      <c r="L100" s="155"/>
      <c r="M100" s="155"/>
      <c r="N100" s="155"/>
      <c r="O100" s="155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</row>
    <row r="101" ht="15.75" customHeight="1" outlineLevel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155"/>
      <c r="L101" s="155"/>
      <c r="M101" s="155"/>
      <c r="N101" s="155"/>
      <c r="O101" s="155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</row>
    <row r="102" ht="15.75" customHeight="1" outlineLevel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155"/>
      <c r="L102" s="155"/>
      <c r="M102" s="155"/>
      <c r="N102" s="155"/>
      <c r="O102" s="155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</row>
    <row r="103" ht="15.75" customHeight="1" outlineLevel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155"/>
      <c r="L103" s="155"/>
      <c r="M103" s="155"/>
      <c r="N103" s="155"/>
      <c r="O103" s="155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</row>
    <row r="104" ht="15.75" customHeight="1" outlineLevel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155"/>
      <c r="L104" s="155"/>
      <c r="M104" s="155"/>
      <c r="N104" s="155"/>
      <c r="O104" s="155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</row>
    <row r="105" ht="15.75" customHeight="1">
      <c r="A105" s="117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55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</row>
    <row r="106" ht="15.75" customHeight="1">
      <c r="A106" s="117"/>
      <c r="B106" s="118"/>
      <c r="N106" s="116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</row>
    <row r="107" ht="15.75" customHeight="1">
      <c r="A107" s="117"/>
      <c r="B107" s="118"/>
      <c r="N107" s="116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</row>
    <row r="108" ht="15.75" customHeight="1">
      <c r="A108" s="118"/>
      <c r="B108" s="118"/>
      <c r="N108" s="116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</row>
    <row r="109" ht="15.75" customHeight="1">
      <c r="A109" s="118"/>
      <c r="B109" s="118"/>
      <c r="N109" s="116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</row>
    <row r="110" ht="15.75" customHeight="1">
      <c r="A110" s="118"/>
      <c r="B110" s="118"/>
      <c r="N110" s="116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</row>
    <row r="111" ht="15.75" customHeight="1">
      <c r="A111" s="118"/>
      <c r="B111" s="118"/>
      <c r="N111" s="116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</row>
    <row r="112" ht="15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55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</row>
    <row r="113" ht="15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55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</row>
    <row r="114" ht="15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55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</row>
    <row r="115" ht="15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55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</row>
    <row r="116" ht="15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55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</row>
    <row r="117" ht="15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55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</row>
    <row r="118" ht="15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55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</row>
    <row r="119" ht="15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55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</row>
    <row r="120" ht="15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55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</row>
    <row r="121" ht="15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55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</row>
    <row r="122" ht="15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55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</row>
    <row r="123" ht="15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55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</row>
    <row r="124" ht="15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55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</row>
    <row r="125" ht="15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55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</row>
    <row r="126" ht="15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55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</row>
    <row r="127" ht="15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55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</row>
    <row r="128" ht="15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55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</row>
    <row r="129" ht="15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55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</row>
    <row r="130" ht="15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55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</row>
    <row r="131" ht="15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55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</row>
    <row r="132" ht="15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55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</row>
    <row r="133" ht="15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55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</row>
    <row r="134" ht="15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55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</row>
    <row r="135" ht="15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55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</row>
    <row r="136" ht="15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55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</row>
    <row r="137" ht="15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55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</row>
    <row r="138" ht="15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55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</row>
    <row r="139" ht="15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55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</row>
    <row r="140" ht="15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55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</row>
    <row r="141" ht="15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55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</row>
    <row r="142" ht="15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55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</row>
    <row r="143" ht="15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55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</row>
    <row r="144" ht="15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55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</row>
    <row r="145" ht="15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55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</row>
    <row r="146" ht="15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55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</row>
    <row r="147" ht="15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55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</row>
    <row r="148" ht="15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55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</row>
    <row r="149" ht="15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55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</row>
    <row r="150" ht="15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55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</row>
    <row r="151" ht="15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55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</row>
    <row r="152" ht="15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55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</row>
    <row r="153" ht="15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55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</row>
    <row r="154" ht="15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55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</row>
    <row r="155" ht="15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55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</row>
    <row r="156" ht="15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55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</row>
    <row r="157" ht="15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55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</row>
    <row r="158" ht="15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55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</row>
    <row r="159" ht="15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55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</row>
    <row r="160" ht="15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55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</row>
    <row r="161" ht="15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55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</row>
    <row r="162" ht="15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55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</row>
    <row r="163" ht="15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55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</row>
    <row r="164" ht="15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55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</row>
    <row r="165" ht="15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55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</row>
    <row r="166" ht="15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55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</row>
    <row r="167" ht="15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55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</row>
    <row r="168" ht="15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55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</row>
    <row r="169" ht="15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55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</row>
    <row r="170" ht="15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55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</row>
    <row r="171" ht="15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55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</row>
    <row r="172" ht="15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55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</row>
    <row r="173" ht="15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55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</row>
    <row r="174" ht="15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55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</row>
    <row r="175" ht="15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55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</row>
    <row r="176" ht="15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55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</row>
    <row r="177" ht="15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55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</row>
    <row r="178" ht="15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55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</row>
    <row r="179" ht="15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55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</row>
    <row r="180" ht="15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55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</row>
    <row r="181" ht="15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55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</row>
    <row r="182" ht="15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55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</row>
    <row r="183" ht="15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55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</row>
    <row r="184" ht="15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55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</row>
    <row r="185" ht="15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55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</row>
    <row r="186" ht="15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55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</row>
    <row r="187" ht="15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55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</row>
    <row r="188" ht="15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55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</row>
    <row r="189" ht="15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55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</row>
    <row r="190" ht="15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55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</row>
    <row r="191" ht="15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55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</row>
    <row r="192" ht="15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55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</row>
    <row r="193" ht="15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55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</row>
    <row r="194" ht="15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55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</row>
    <row r="195" ht="15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55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</row>
    <row r="196" ht="15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55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</row>
    <row r="197" ht="15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55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</row>
    <row r="198" ht="15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55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</row>
    <row r="199" ht="15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55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</row>
    <row r="200" ht="15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55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</row>
    <row r="201" ht="15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55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</row>
    <row r="202" ht="15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55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</row>
    <row r="203" ht="15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55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</row>
    <row r="204" ht="15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55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</row>
    <row r="205" ht="15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55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</row>
    <row r="206" ht="15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55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</row>
    <row r="207" ht="15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55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</row>
    <row r="208" ht="15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55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</row>
    <row r="209" ht="15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55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</row>
    <row r="210" ht="15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55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</row>
    <row r="211" ht="15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55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</row>
    <row r="212" ht="15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55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</row>
    <row r="213" ht="15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55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</row>
    <row r="214" ht="15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55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</row>
    <row r="215" ht="15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55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</row>
    <row r="216" ht="15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55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</row>
    <row r="217" ht="15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55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</row>
    <row r="218" ht="15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55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</row>
    <row r="219" ht="15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55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</row>
    <row r="220" ht="15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55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</row>
    <row r="221" ht="15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55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</row>
    <row r="222" ht="15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55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</row>
    <row r="223" ht="15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55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</row>
    <row r="224" ht="15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55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</row>
    <row r="225" ht="15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55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</row>
    <row r="226" ht="15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55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</row>
    <row r="227" ht="15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55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</row>
    <row r="228" ht="15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55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</row>
    <row r="229" ht="15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55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</row>
    <row r="230" ht="15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55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</row>
    <row r="231" ht="15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55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</row>
    <row r="232" ht="15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55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</row>
    <row r="233" ht="15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55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</row>
    <row r="234" ht="15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55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</row>
    <row r="235" ht="15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55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</row>
    <row r="236" ht="15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55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</row>
    <row r="237" ht="15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55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</row>
    <row r="238" ht="15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55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</row>
    <row r="239" ht="15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55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</row>
    <row r="240" ht="15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55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</row>
    <row r="241" ht="15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55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</row>
    <row r="242" ht="15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55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</row>
    <row r="243" ht="15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55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</row>
    <row r="244" ht="15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55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</row>
    <row r="245" ht="15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55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</row>
    <row r="246" ht="15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55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</row>
    <row r="247" ht="15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55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</row>
    <row r="248" ht="15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55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</row>
    <row r="249" ht="15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55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</row>
    <row r="250" ht="15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55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</row>
    <row r="251" ht="15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55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</row>
    <row r="252" ht="15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55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</row>
    <row r="253" ht="15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55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</row>
    <row r="254" ht="15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55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</row>
    <row r="255" ht="15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55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</row>
    <row r="256" ht="15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55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</row>
    <row r="257" ht="15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55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</row>
    <row r="258" ht="15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55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</row>
    <row r="259" ht="15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55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</row>
    <row r="260" ht="15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55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</row>
    <row r="261" ht="15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55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</row>
    <row r="262" ht="15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55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</row>
    <row r="263" ht="15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55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</row>
    <row r="264" ht="15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55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</row>
    <row r="265" ht="15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55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</row>
    <row r="266" ht="15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55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</row>
    <row r="267" ht="15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55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</row>
    <row r="268" ht="15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55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</row>
    <row r="269" ht="15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55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</row>
    <row r="270" ht="15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55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</row>
    <row r="271" ht="15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55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</row>
    <row r="272" ht="15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55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</row>
    <row r="273" ht="15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55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</row>
    <row r="274" ht="15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55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</row>
    <row r="275" ht="15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55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</row>
    <row r="276" ht="15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55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</row>
    <row r="277" ht="15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55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</row>
    <row r="278" ht="15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55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</row>
    <row r="279" ht="15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55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</row>
    <row r="280" ht="15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55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</row>
    <row r="281" ht="15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55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</row>
    <row r="282" ht="15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55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</row>
    <row r="283" ht="15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55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</row>
    <row r="284" ht="15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55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</row>
    <row r="285" ht="15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55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</row>
    <row r="286" ht="15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55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</row>
    <row r="287" ht="15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55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</row>
    <row r="288" ht="15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55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</row>
    <row r="289" ht="15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55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</row>
    <row r="290" ht="15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55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</row>
    <row r="291" ht="15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55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</row>
    <row r="292" ht="15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55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</row>
    <row r="293" ht="15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55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</row>
    <row r="294" ht="15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55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</row>
    <row r="295" ht="15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55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</row>
    <row r="296" ht="15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55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</row>
    <row r="297" ht="15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55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</row>
    <row r="298" ht="15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55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</row>
    <row r="299" ht="15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55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</row>
    <row r="300" ht="15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55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</row>
    <row r="301" ht="15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55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</row>
    <row r="302" ht="15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55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</row>
    <row r="303" ht="15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55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</row>
    <row r="304" ht="15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55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</row>
    <row r="305" ht="15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55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</row>
    <row r="306" ht="15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55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</row>
    <row r="307" ht="15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55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</row>
    <row r="308" ht="15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55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</row>
    <row r="309" ht="15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55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</row>
    <row r="310" ht="15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55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</row>
    <row r="311" ht="15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55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</row>
    <row r="312" ht="15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55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</row>
    <row r="313" ht="15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55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</row>
    <row r="314" ht="15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55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</row>
    <row r="315" ht="15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55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</row>
    <row r="316" ht="15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55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</row>
    <row r="317" ht="15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55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</row>
    <row r="318" ht="15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55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</row>
    <row r="319" ht="15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55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</row>
    <row r="320" ht="15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55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</row>
    <row r="321" ht="15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55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</row>
    <row r="322" ht="15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55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</row>
    <row r="323" ht="15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55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</row>
    <row r="324" ht="15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55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</row>
    <row r="325" ht="15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55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</row>
    <row r="326" ht="15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55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</row>
    <row r="327" ht="15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55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</row>
    <row r="328" ht="15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55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</row>
    <row r="329" ht="15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55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</row>
    <row r="330" ht="15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55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</row>
    <row r="331" ht="15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55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</row>
    <row r="332" ht="15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55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</row>
    <row r="333" ht="15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55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</row>
    <row r="334" ht="15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55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</row>
    <row r="335" ht="15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55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</row>
    <row r="336" ht="15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55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</row>
    <row r="337" ht="15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55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</row>
    <row r="338" ht="15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55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</row>
    <row r="339" ht="15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55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</row>
    <row r="340" ht="15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55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</row>
    <row r="341" ht="15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55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</row>
    <row r="342" ht="15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55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</row>
    <row r="343" ht="15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55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</row>
    <row r="344" ht="15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55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</row>
    <row r="345" ht="15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55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</row>
    <row r="346" ht="15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55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</row>
    <row r="347" ht="15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55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</row>
    <row r="348" ht="15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55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</row>
    <row r="349" ht="15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55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</row>
    <row r="350" ht="15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55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</row>
    <row r="351" ht="15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55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</row>
    <row r="352" ht="15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55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</row>
    <row r="353" ht="15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55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</row>
    <row r="354" ht="15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55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</row>
    <row r="355" ht="15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55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</row>
    <row r="356" ht="15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55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</row>
    <row r="357" ht="15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55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</row>
    <row r="358" ht="15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55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</row>
    <row r="359" ht="15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55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</row>
    <row r="360" ht="15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55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</row>
    <row r="361" ht="15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55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</row>
    <row r="362" ht="15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55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</row>
    <row r="363" ht="15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55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</row>
    <row r="364" ht="15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55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</row>
    <row r="365" ht="15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55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</row>
    <row r="366" ht="15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55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</row>
    <row r="367" ht="15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55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</row>
    <row r="368" ht="15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55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</row>
    <row r="369" ht="15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55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</row>
    <row r="370" ht="15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55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</row>
    <row r="371" ht="15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55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</row>
    <row r="372" ht="15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55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</row>
    <row r="373" ht="15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55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</row>
    <row r="374" ht="15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55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</row>
    <row r="375" ht="15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55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</row>
    <row r="376" ht="15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55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</row>
    <row r="377" ht="15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55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</row>
    <row r="378" ht="15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55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</row>
    <row r="379" ht="15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55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</row>
    <row r="380" ht="15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55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</row>
    <row r="381" ht="15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55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</row>
    <row r="382" ht="15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55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</row>
    <row r="383" ht="15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55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</row>
    <row r="384" ht="15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55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</row>
    <row r="385" ht="15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55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</row>
    <row r="386" ht="15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55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</row>
    <row r="387" ht="15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55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</row>
    <row r="388" ht="15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55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</row>
    <row r="389" ht="15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55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</row>
    <row r="390" ht="15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55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</row>
    <row r="391" ht="15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55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</row>
    <row r="392" ht="15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55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</row>
    <row r="393" ht="15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55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</row>
    <row r="394" ht="15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55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</row>
    <row r="395" ht="15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55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</row>
    <row r="396" ht="15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55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</row>
    <row r="397" ht="15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55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</row>
    <row r="398" ht="15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55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</row>
    <row r="399" ht="15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55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</row>
    <row r="400" ht="15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55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</row>
    <row r="401" ht="15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55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</row>
    <row r="402" ht="15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55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</row>
    <row r="403" ht="15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55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</row>
    <row r="404" ht="15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55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</row>
    <row r="405" ht="15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55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</row>
    <row r="406" ht="15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55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</row>
    <row r="407" ht="15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55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</row>
    <row r="408" ht="15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55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</row>
    <row r="409" ht="15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55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</row>
    <row r="410" ht="15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55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</row>
    <row r="411" ht="15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55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</row>
    <row r="412" ht="15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55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</row>
    <row r="413" ht="15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55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</row>
    <row r="414" ht="15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55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</row>
    <row r="415" ht="15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55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</row>
    <row r="416" ht="15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55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</row>
    <row r="417" ht="15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55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</row>
    <row r="418" ht="15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55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</row>
    <row r="419" ht="15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55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</row>
    <row r="420" ht="15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55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</row>
    <row r="421" ht="15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55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</row>
    <row r="422" ht="15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55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</row>
    <row r="423" ht="15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55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</row>
    <row r="424" ht="15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55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</row>
    <row r="425" ht="15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55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</row>
    <row r="426" ht="15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55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</row>
    <row r="427" ht="15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55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</row>
    <row r="428" ht="15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55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</row>
    <row r="429" ht="15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55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</row>
    <row r="430" ht="15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55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</row>
    <row r="431" ht="15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55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</row>
    <row r="432" ht="15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55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</row>
    <row r="433" ht="15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55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</row>
    <row r="434" ht="15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55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</row>
    <row r="435" ht="15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55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</row>
    <row r="436" ht="15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55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</row>
    <row r="437" ht="15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55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</row>
    <row r="438" ht="15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55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</row>
    <row r="439" ht="15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55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</row>
    <row r="440" ht="15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55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</row>
    <row r="441" ht="15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55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</row>
    <row r="442" ht="15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55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</row>
    <row r="443" ht="15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55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</row>
    <row r="444" ht="15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55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</row>
    <row r="445" ht="15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55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</row>
    <row r="446" ht="15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55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</row>
    <row r="447" ht="15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55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</row>
    <row r="448" ht="15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55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</row>
    <row r="449" ht="15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55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</row>
    <row r="450" ht="15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55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</row>
    <row r="451" ht="15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55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</row>
    <row r="452" ht="15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55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</row>
    <row r="453" ht="15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55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</row>
    <row r="454" ht="15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55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</row>
    <row r="455" ht="15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55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</row>
    <row r="456" ht="15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55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</row>
    <row r="457" ht="15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55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</row>
    <row r="458" ht="15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55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</row>
    <row r="459" ht="15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55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</row>
    <row r="460" ht="15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55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</row>
    <row r="461" ht="15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55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</row>
    <row r="462" ht="15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55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</row>
    <row r="463" ht="15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55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</row>
    <row r="464" ht="15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55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</row>
    <row r="465" ht="15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55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</row>
    <row r="466" ht="15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55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</row>
    <row r="467" ht="15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55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</row>
    <row r="468" ht="15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55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</row>
    <row r="469" ht="15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55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</row>
    <row r="470" ht="15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55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</row>
    <row r="471" ht="15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55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</row>
    <row r="472" ht="15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55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</row>
    <row r="473" ht="15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55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</row>
    <row r="474" ht="15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55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</row>
    <row r="475" ht="15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55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</row>
    <row r="476" ht="15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55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</row>
    <row r="477" ht="15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55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</row>
    <row r="478" ht="15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55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</row>
    <row r="479" ht="15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55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</row>
    <row r="480" ht="15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55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</row>
    <row r="481" ht="15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55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</row>
    <row r="482" ht="15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55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</row>
    <row r="483" ht="15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55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</row>
    <row r="484" ht="15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55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</row>
    <row r="485" ht="15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55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</row>
    <row r="486" ht="15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55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</row>
    <row r="487" ht="15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55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</row>
    <row r="488" ht="15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55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</row>
    <row r="489" ht="15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55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</row>
    <row r="490" ht="15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55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</row>
    <row r="491" ht="15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55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</row>
    <row r="492" ht="15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55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</row>
    <row r="493" ht="15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55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</row>
    <row r="494" ht="15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55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</row>
    <row r="495" ht="15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55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</row>
    <row r="496" ht="15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55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</row>
    <row r="497" ht="15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55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</row>
    <row r="498" ht="15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55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</row>
    <row r="499" ht="15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55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</row>
    <row r="500" ht="15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55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</row>
    <row r="501" ht="15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55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</row>
    <row r="502" ht="15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55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</row>
    <row r="503" ht="15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55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</row>
    <row r="504" ht="15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55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</row>
    <row r="505" ht="15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55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</row>
    <row r="506" ht="15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55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</row>
    <row r="507" ht="15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55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</row>
    <row r="508" ht="15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55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</row>
    <row r="509" ht="15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55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</row>
    <row r="510" ht="15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55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</row>
    <row r="511" ht="15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55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</row>
    <row r="512" ht="15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55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</row>
    <row r="513" ht="15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55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</row>
    <row r="514" ht="15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55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</row>
    <row r="515" ht="15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55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</row>
    <row r="516" ht="15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55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</row>
    <row r="517" ht="15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55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</row>
    <row r="518" ht="15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55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</row>
    <row r="519" ht="15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55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</row>
    <row r="520" ht="15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55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</row>
    <row r="521" ht="15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55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</row>
    <row r="522" ht="15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55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</row>
    <row r="523" ht="15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55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</row>
    <row r="524" ht="15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55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</row>
    <row r="525" ht="15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55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</row>
    <row r="526" ht="15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55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</row>
    <row r="527" ht="15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55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</row>
    <row r="528" ht="15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55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</row>
    <row r="529" ht="15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55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</row>
    <row r="530" ht="15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55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</row>
    <row r="531" ht="15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55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</row>
    <row r="532" ht="15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55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</row>
    <row r="533" ht="15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55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</row>
    <row r="534" ht="15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55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</row>
    <row r="535" ht="15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55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</row>
    <row r="536" ht="15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55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</row>
    <row r="537" ht="15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55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</row>
    <row r="538" ht="15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55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</row>
    <row r="539" ht="15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55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</row>
    <row r="540" ht="15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55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</row>
    <row r="541" ht="15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55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</row>
    <row r="542" ht="15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55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</row>
    <row r="543" ht="15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55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</row>
    <row r="544" ht="15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55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</row>
    <row r="545" ht="15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55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</row>
    <row r="546" ht="15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55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</row>
    <row r="547" ht="15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55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</row>
    <row r="548" ht="15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55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</row>
    <row r="549" ht="15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55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</row>
    <row r="550" ht="15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55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</row>
    <row r="551" ht="15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55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</row>
    <row r="552" ht="15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55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</row>
    <row r="553" ht="15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55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</row>
    <row r="554" ht="15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55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</row>
    <row r="555" ht="15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55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</row>
    <row r="556" ht="15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55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</row>
    <row r="557" ht="15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55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</row>
    <row r="558" ht="15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55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</row>
    <row r="559" ht="15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55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</row>
    <row r="560" ht="15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55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</row>
    <row r="561" ht="15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55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</row>
    <row r="562" ht="15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55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</row>
    <row r="563" ht="15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55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</row>
    <row r="564" ht="15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55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</row>
    <row r="565" ht="15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55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</row>
    <row r="566" ht="15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55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</row>
    <row r="567" ht="15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55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</row>
    <row r="568" ht="15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55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</row>
    <row r="569" ht="15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55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</row>
    <row r="570" ht="15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55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</row>
    <row r="571" ht="15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55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</row>
    <row r="572" ht="15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55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</row>
    <row r="573" ht="15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55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</row>
    <row r="574" ht="15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55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</row>
    <row r="575" ht="15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55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</row>
    <row r="576" ht="15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55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</row>
    <row r="577" ht="15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55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</row>
    <row r="578" ht="15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55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</row>
    <row r="579" ht="15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55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</row>
    <row r="580" ht="15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55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</row>
    <row r="581" ht="15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55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</row>
    <row r="582" ht="15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55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</row>
    <row r="583" ht="15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55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</row>
    <row r="584" ht="15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55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</row>
    <row r="585" ht="15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55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</row>
    <row r="586" ht="15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55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</row>
    <row r="587" ht="15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55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</row>
    <row r="588" ht="15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55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</row>
    <row r="589" ht="15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55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</row>
    <row r="590" ht="15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55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</row>
    <row r="591" ht="15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55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</row>
    <row r="592" ht="15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55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</row>
    <row r="593" ht="15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55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</row>
    <row r="594" ht="15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55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</row>
    <row r="595" ht="15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55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</row>
    <row r="596" ht="15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55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</row>
    <row r="597" ht="15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55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</row>
    <row r="598" ht="15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55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</row>
    <row r="599" ht="15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55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</row>
    <row r="600" ht="15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55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</row>
    <row r="601" ht="15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55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</row>
    <row r="602" ht="15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55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</row>
    <row r="603" ht="15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55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</row>
    <row r="604" ht="15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55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</row>
    <row r="605" ht="15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55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</row>
    <row r="606" ht="15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55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</row>
    <row r="607" ht="15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55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</row>
    <row r="608" ht="15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55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</row>
    <row r="609" ht="15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55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</row>
    <row r="610" ht="15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55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</row>
    <row r="611" ht="15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55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</row>
    <row r="612" ht="15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55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</row>
    <row r="613" ht="15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55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</row>
    <row r="614" ht="15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55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</row>
    <row r="615" ht="15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55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</row>
    <row r="616" ht="15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55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</row>
    <row r="617" ht="15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55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</row>
    <row r="618" ht="15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55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</row>
    <row r="619" ht="15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55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</row>
    <row r="620" ht="15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55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</row>
    <row r="621" ht="15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55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</row>
    <row r="622" ht="15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55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</row>
    <row r="623" ht="15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55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</row>
    <row r="624" ht="15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55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</row>
    <row r="625" ht="15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55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</row>
    <row r="626" ht="15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55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</row>
    <row r="627" ht="15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55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</row>
    <row r="628" ht="15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55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</row>
    <row r="629" ht="15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55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</row>
    <row r="630" ht="15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55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</row>
    <row r="631" ht="15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55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</row>
    <row r="632" ht="15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55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</row>
    <row r="633" ht="15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55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</row>
    <row r="634" ht="15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55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</row>
    <row r="635" ht="15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55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</row>
    <row r="636" ht="15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55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</row>
    <row r="637" ht="15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55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</row>
    <row r="638" ht="15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55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</row>
    <row r="639" ht="15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55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</row>
    <row r="640" ht="15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55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</row>
    <row r="641" ht="15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55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</row>
    <row r="642" ht="15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55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</row>
    <row r="643" ht="15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55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</row>
    <row r="644" ht="15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55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</row>
    <row r="645" ht="15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55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</row>
    <row r="646" ht="15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55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</row>
    <row r="647" ht="15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55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</row>
    <row r="648" ht="15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55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</row>
    <row r="649" ht="15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55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</row>
    <row r="650" ht="15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55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</row>
    <row r="651" ht="15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55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</row>
    <row r="652" ht="15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55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</row>
    <row r="653" ht="15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55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</row>
    <row r="654" ht="15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55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</row>
    <row r="655" ht="15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55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</row>
    <row r="656" ht="15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55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</row>
    <row r="657" ht="15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55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</row>
    <row r="658" ht="15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55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</row>
    <row r="659" ht="15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55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</row>
    <row r="660" ht="15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55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</row>
    <row r="661" ht="15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55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</row>
    <row r="662" ht="15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55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</row>
    <row r="663" ht="15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55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</row>
    <row r="664" ht="15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55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</row>
    <row r="665" ht="15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55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</row>
    <row r="666" ht="15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55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</row>
    <row r="667" ht="15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55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</row>
    <row r="668" ht="15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55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</row>
    <row r="669" ht="15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55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</row>
    <row r="670" ht="15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55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</row>
    <row r="671" ht="15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55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</row>
    <row r="672" ht="15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55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</row>
    <row r="673" ht="15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55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</row>
    <row r="674" ht="15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55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</row>
    <row r="675" ht="15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55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</row>
    <row r="676" ht="15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55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</row>
    <row r="677" ht="15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55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</row>
    <row r="678" ht="15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55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</row>
    <row r="679" ht="15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55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</row>
    <row r="680" ht="15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55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</row>
    <row r="681" ht="15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55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</row>
    <row r="682" ht="15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55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</row>
    <row r="683" ht="15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55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</row>
    <row r="684" ht="15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55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</row>
    <row r="685" ht="15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55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</row>
    <row r="686" ht="15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55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</row>
    <row r="687" ht="15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55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</row>
    <row r="688" ht="15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55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</row>
    <row r="689" ht="15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55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</row>
    <row r="690" ht="15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55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</row>
    <row r="691" ht="15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55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</row>
    <row r="692" ht="15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55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</row>
    <row r="693" ht="15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55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</row>
    <row r="694" ht="15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55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</row>
    <row r="695" ht="15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55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</row>
    <row r="696" ht="15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55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</row>
    <row r="697" ht="15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55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</row>
    <row r="698" ht="15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55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</row>
    <row r="699" ht="15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55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</row>
    <row r="700" ht="15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55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</row>
    <row r="701" ht="15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55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</row>
    <row r="702" ht="15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55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</row>
    <row r="703" ht="15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55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</row>
    <row r="704" ht="15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55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</row>
    <row r="705" ht="15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55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</row>
    <row r="706" ht="15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55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</row>
    <row r="707" ht="15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55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</row>
    <row r="708" ht="15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55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</row>
    <row r="709" ht="15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55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</row>
    <row r="710" ht="15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55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</row>
    <row r="711" ht="15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55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</row>
    <row r="712" ht="15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55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</row>
    <row r="713" ht="15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55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</row>
    <row r="714" ht="15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55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</row>
    <row r="715" ht="15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55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</row>
    <row r="716" ht="15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55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</row>
    <row r="717" ht="15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55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</row>
    <row r="718" ht="15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55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</row>
    <row r="719" ht="15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55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</row>
    <row r="720" ht="15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55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</row>
    <row r="721" ht="15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55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</row>
    <row r="722" ht="15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55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</row>
    <row r="723" ht="15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55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</row>
    <row r="724" ht="15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55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</row>
    <row r="725" ht="15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55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</row>
    <row r="726" ht="15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55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</row>
    <row r="727" ht="15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55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</row>
    <row r="728" ht="15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55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</row>
    <row r="729" ht="15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55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</row>
    <row r="730" ht="15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55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</row>
    <row r="731" ht="15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55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</row>
    <row r="732" ht="15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55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</row>
    <row r="733" ht="15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55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</row>
    <row r="734" ht="15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55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</row>
    <row r="735" ht="15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55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</row>
    <row r="736" ht="15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55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</row>
    <row r="737" ht="15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55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</row>
    <row r="738" ht="15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55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</row>
    <row r="739" ht="15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55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</row>
    <row r="740" ht="15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55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</row>
    <row r="741" ht="15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55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</row>
    <row r="742" ht="15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55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</row>
    <row r="743" ht="15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55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</row>
    <row r="744" ht="15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55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</row>
    <row r="745" ht="15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55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</row>
    <row r="746" ht="15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55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</row>
    <row r="747" ht="15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55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</row>
    <row r="748" ht="15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55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</row>
    <row r="749" ht="15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55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</row>
    <row r="750" ht="15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55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</row>
    <row r="751" ht="15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55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</row>
    <row r="752" ht="15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55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</row>
    <row r="753" ht="15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55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</row>
    <row r="754" ht="15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55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</row>
    <row r="755" ht="15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55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</row>
    <row r="756" ht="15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55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</row>
    <row r="757" ht="15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55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</row>
    <row r="758" ht="15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55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</row>
    <row r="759" ht="15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55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</row>
    <row r="760" ht="15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55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</row>
    <row r="761" ht="15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55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</row>
    <row r="762" ht="15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55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</row>
    <row r="763" ht="15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55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</row>
    <row r="764" ht="15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55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</row>
    <row r="765" ht="15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55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</row>
    <row r="766" ht="15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55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</row>
    <row r="767" ht="15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55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</row>
    <row r="768" ht="15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55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</row>
    <row r="769" ht="15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55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</row>
    <row r="770" ht="15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55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</row>
    <row r="771" ht="15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55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</row>
    <row r="772" ht="15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55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</row>
    <row r="773" ht="15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55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</row>
    <row r="774" ht="15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55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</row>
    <row r="775" ht="15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55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</row>
    <row r="776" ht="15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55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</row>
    <row r="777" ht="15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55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</row>
    <row r="778" ht="15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55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</row>
    <row r="779" ht="15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55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</row>
    <row r="780" ht="15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55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</row>
    <row r="781" ht="15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55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</row>
    <row r="782" ht="15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55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</row>
    <row r="783" ht="15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55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</row>
    <row r="784" ht="15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55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</row>
    <row r="785" ht="15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55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</row>
    <row r="786" ht="15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55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</row>
    <row r="787" ht="15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55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</row>
    <row r="788" ht="15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55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</row>
    <row r="789" ht="15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55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</row>
    <row r="790" ht="15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55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</row>
    <row r="791" ht="15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55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</row>
    <row r="792" ht="15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55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</row>
    <row r="793" ht="15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55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</row>
    <row r="794" ht="15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55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</row>
    <row r="795" ht="15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55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</row>
    <row r="796" ht="15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55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</row>
    <row r="797" ht="15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55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</row>
    <row r="798" ht="15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55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</row>
    <row r="799" ht="15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55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</row>
    <row r="800" ht="15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55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</row>
    <row r="801" ht="15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55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</row>
    <row r="802" ht="15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55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</row>
    <row r="803" ht="15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55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</row>
    <row r="804" ht="15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55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</row>
    <row r="805" ht="15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55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</row>
    <row r="806" ht="15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55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</row>
    <row r="807" ht="15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55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</row>
    <row r="808" ht="15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55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</row>
    <row r="809" ht="15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55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</row>
    <row r="810" ht="15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55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</row>
    <row r="811" ht="15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55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</row>
    <row r="812" ht="15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55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</row>
    <row r="813" ht="15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55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</row>
    <row r="814" ht="15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55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</row>
    <row r="815" ht="15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55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</row>
    <row r="816" ht="15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55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</row>
    <row r="817" ht="15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55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</row>
    <row r="818" ht="15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55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</row>
    <row r="819" ht="15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55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</row>
    <row r="820" ht="15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55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</row>
    <row r="821" ht="15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55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</row>
    <row r="822" ht="15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55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</row>
    <row r="823" ht="15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55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</row>
    <row r="824" ht="15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55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</row>
    <row r="825" ht="15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55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</row>
    <row r="826" ht="15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55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</row>
    <row r="827" ht="15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55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</row>
    <row r="828" ht="15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55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</row>
    <row r="829" ht="15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55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</row>
    <row r="830" ht="15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55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</row>
    <row r="831" ht="15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55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</row>
    <row r="832" ht="15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55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</row>
    <row r="833" ht="15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55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</row>
    <row r="834" ht="15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55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</row>
    <row r="835" ht="15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55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</row>
    <row r="836" ht="15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55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</row>
    <row r="837" ht="15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55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</row>
    <row r="838" ht="15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55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</row>
    <row r="839" ht="15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55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</row>
    <row r="840" ht="15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55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</row>
    <row r="841" ht="15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55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</row>
    <row r="842" ht="15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55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</row>
    <row r="843" ht="15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55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</row>
    <row r="844" ht="15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55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</row>
    <row r="845" ht="15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55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  <c r="AG845" s="118"/>
    </row>
    <row r="846" ht="15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55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  <c r="AG846" s="118"/>
    </row>
    <row r="847" ht="15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55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  <c r="AG847" s="118"/>
    </row>
    <row r="848" ht="15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55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  <c r="AG848" s="118"/>
    </row>
    <row r="849" ht="15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55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  <c r="AG849" s="118"/>
    </row>
    <row r="850" ht="15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55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  <c r="AG850" s="118"/>
    </row>
    <row r="851" ht="15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55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  <c r="AG851" s="118"/>
    </row>
    <row r="852" ht="15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55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  <c r="AG852" s="118"/>
    </row>
    <row r="853" ht="15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55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  <c r="AG853" s="118"/>
    </row>
    <row r="854" ht="15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55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  <c r="AG854" s="118"/>
    </row>
    <row r="855" ht="15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55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  <c r="AG855" s="118"/>
    </row>
    <row r="856" ht="15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55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</row>
    <row r="857" ht="15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55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</row>
    <row r="858" ht="15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55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</row>
    <row r="859" ht="15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55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</row>
    <row r="860" ht="15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55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</row>
    <row r="861" ht="15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55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</row>
    <row r="862" ht="15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55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</row>
    <row r="863" ht="15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55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</row>
    <row r="864" ht="15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55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</row>
    <row r="865" ht="15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55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</row>
    <row r="866" ht="15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55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</row>
    <row r="867" ht="15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55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</row>
    <row r="868" ht="15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55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</row>
    <row r="869" ht="15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55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</row>
    <row r="870" ht="15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55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</row>
    <row r="871" ht="15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55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</row>
    <row r="872" ht="15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55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</row>
    <row r="873" ht="15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55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</row>
    <row r="874" ht="15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55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</row>
    <row r="875" ht="15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55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</row>
    <row r="876" ht="15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55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</row>
    <row r="877" ht="15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55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  <c r="AG877" s="118"/>
    </row>
    <row r="878" ht="15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55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  <c r="AG878" s="118"/>
    </row>
    <row r="879" ht="15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55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  <c r="AG879" s="118"/>
    </row>
    <row r="880" ht="15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55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  <c r="AG880" s="118"/>
    </row>
    <row r="881" ht="15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55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  <c r="AG881" s="118"/>
    </row>
    <row r="882" ht="15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55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  <c r="AG882" s="118"/>
    </row>
    <row r="883" ht="15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55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  <c r="AG883" s="118"/>
    </row>
    <row r="884" ht="15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55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  <c r="AG884" s="118"/>
    </row>
    <row r="885" ht="15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55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  <c r="AG885" s="118"/>
    </row>
    <row r="886" ht="15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55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  <c r="AG886" s="118"/>
    </row>
    <row r="887" ht="15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55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</row>
    <row r="888" ht="15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55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  <c r="AG888" s="118"/>
    </row>
    <row r="889" ht="15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55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  <c r="AG889" s="118"/>
    </row>
    <row r="890" ht="15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55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  <c r="AG890" s="118"/>
    </row>
    <row r="891" ht="15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55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  <c r="AG891" s="118"/>
    </row>
    <row r="892" ht="15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55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  <c r="AG892" s="118"/>
    </row>
    <row r="893" ht="15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55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  <c r="AG893" s="118"/>
    </row>
    <row r="894" ht="15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55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  <c r="AG894" s="118"/>
    </row>
    <row r="895" ht="15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55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  <c r="AG895" s="118"/>
    </row>
    <row r="896" ht="15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55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  <c r="AG896" s="118"/>
    </row>
    <row r="897" ht="15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55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  <c r="AG897" s="118"/>
    </row>
    <row r="898" ht="15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55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  <c r="AG898" s="118"/>
    </row>
    <row r="899" ht="15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55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  <c r="AG899" s="118"/>
    </row>
    <row r="900" ht="15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55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  <c r="AG900" s="118"/>
    </row>
    <row r="901" ht="15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55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  <c r="AG901" s="118"/>
    </row>
    <row r="902" ht="15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55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  <c r="AG902" s="118"/>
    </row>
    <row r="903" ht="15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55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  <c r="AG903" s="118"/>
    </row>
    <row r="904" ht="15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55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  <c r="AG904" s="118"/>
    </row>
    <row r="905" ht="15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55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  <c r="AG905" s="118"/>
    </row>
    <row r="906" ht="15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55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  <c r="AG906" s="118"/>
    </row>
    <row r="907" ht="15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55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  <c r="AG907" s="118"/>
    </row>
    <row r="908" ht="15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55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  <c r="AG908" s="118"/>
    </row>
    <row r="909" ht="15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55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  <c r="AG909" s="118"/>
    </row>
    <row r="910" ht="15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55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  <c r="AG910" s="118"/>
    </row>
    <row r="911" ht="15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55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  <c r="AG911" s="118"/>
    </row>
    <row r="912" ht="15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55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  <c r="AG912" s="118"/>
    </row>
    <row r="913" ht="15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55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  <c r="AG913" s="118"/>
    </row>
    <row r="914" ht="15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55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  <c r="AG914" s="118"/>
    </row>
    <row r="915" ht="15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55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  <c r="AG915" s="118"/>
    </row>
    <row r="916" ht="15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55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  <c r="AG916" s="118"/>
    </row>
    <row r="917" ht="15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55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  <c r="AG917" s="118"/>
    </row>
    <row r="918" ht="15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55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  <c r="AG918" s="118"/>
    </row>
    <row r="919" ht="15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55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  <c r="AG919" s="118"/>
    </row>
    <row r="920" ht="15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55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  <c r="AG920" s="118"/>
    </row>
    <row r="921" ht="15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55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  <c r="AG921" s="118"/>
    </row>
    <row r="922" ht="15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55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  <c r="AG922" s="118"/>
    </row>
    <row r="923" ht="15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55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  <c r="AG923" s="118"/>
    </row>
    <row r="924" ht="15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55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  <c r="AG924" s="118"/>
    </row>
    <row r="925" ht="15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55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  <c r="AG925" s="118"/>
    </row>
    <row r="926" ht="15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55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  <c r="AG926" s="118"/>
    </row>
    <row r="927" ht="15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55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  <c r="AG927" s="118"/>
    </row>
    <row r="928" ht="15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55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  <c r="AF928" s="118"/>
      <c r="AG928" s="118"/>
    </row>
    <row r="929" ht="15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55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  <c r="AF929" s="118"/>
      <c r="AG929" s="118"/>
    </row>
    <row r="930" ht="15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55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  <c r="AF930" s="118"/>
      <c r="AG930" s="118"/>
    </row>
    <row r="931" ht="15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55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  <c r="AF931" s="118"/>
      <c r="AG931" s="118"/>
    </row>
    <row r="932" ht="15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55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  <c r="AF932" s="118"/>
      <c r="AG932" s="118"/>
    </row>
    <row r="933" ht="15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55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  <c r="AF933" s="118"/>
      <c r="AG933" s="118"/>
    </row>
    <row r="934" ht="15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55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  <c r="AF934" s="118"/>
      <c r="AG934" s="118"/>
    </row>
    <row r="935" ht="15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55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  <c r="AF935" s="118"/>
      <c r="AG935" s="118"/>
    </row>
    <row r="936" ht="15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55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  <c r="AF936" s="118"/>
      <c r="AG936" s="118"/>
    </row>
    <row r="937" ht="15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55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  <c r="AF937" s="118"/>
      <c r="AG937" s="118"/>
    </row>
    <row r="938" ht="15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55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  <c r="AF938" s="118"/>
      <c r="AG938" s="118"/>
    </row>
    <row r="939" ht="15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55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  <c r="AF939" s="118"/>
      <c r="AG939" s="118"/>
    </row>
    <row r="940" ht="15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55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  <c r="AF940" s="118"/>
      <c r="AG940" s="118"/>
    </row>
    <row r="941" ht="15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55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  <c r="AF941" s="118"/>
      <c r="AG941" s="118"/>
    </row>
    <row r="942" ht="15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55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  <c r="AF942" s="118"/>
      <c r="AG942" s="118"/>
    </row>
    <row r="943" ht="15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55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  <c r="AF943" s="118"/>
      <c r="AG943" s="118"/>
    </row>
    <row r="944" ht="15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55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  <c r="AG944" s="118"/>
    </row>
    <row r="945" ht="15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55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  <c r="AG945" s="118"/>
    </row>
    <row r="946" ht="15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55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  <c r="AG946" s="118"/>
    </row>
    <row r="947" ht="15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55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  <c r="AG947" s="118"/>
    </row>
    <row r="948" ht="15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55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  <c r="AG948" s="118"/>
    </row>
    <row r="949" ht="15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55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  <c r="AG949" s="118"/>
    </row>
    <row r="950" ht="15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55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  <c r="AG950" s="118"/>
    </row>
    <row r="951" ht="15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55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  <c r="AG951" s="118"/>
    </row>
    <row r="952" ht="15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55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  <c r="AG952" s="118"/>
    </row>
    <row r="953" ht="15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55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  <c r="AG953" s="118"/>
    </row>
    <row r="954" ht="15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55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  <c r="AG954" s="118"/>
    </row>
    <row r="955" ht="15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55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  <c r="AG955" s="118"/>
    </row>
    <row r="956" ht="15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55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  <c r="AG956" s="118"/>
    </row>
    <row r="957" ht="15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55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  <c r="AG957" s="118"/>
    </row>
    <row r="958" ht="15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55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  <c r="AG958" s="118"/>
    </row>
    <row r="959" ht="15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55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  <c r="AG959" s="118"/>
    </row>
    <row r="960" ht="15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55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  <c r="AG960" s="118"/>
    </row>
    <row r="961" ht="15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55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  <c r="AG961" s="118"/>
    </row>
    <row r="962" ht="15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55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  <c r="AG962" s="118"/>
    </row>
    <row r="963" ht="15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55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  <c r="AG963" s="118"/>
    </row>
    <row r="964" ht="15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55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  <c r="AG964" s="118"/>
    </row>
    <row r="965" ht="15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55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  <c r="AG965" s="118"/>
    </row>
    <row r="966" ht="15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55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  <c r="AG966" s="118"/>
    </row>
    <row r="967" ht="15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55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  <c r="AG967" s="118"/>
    </row>
    <row r="968" ht="15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55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  <c r="AG968" s="118"/>
    </row>
    <row r="969" ht="15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55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  <c r="AG969" s="118"/>
    </row>
    <row r="970" ht="15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55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  <c r="AG970" s="118"/>
    </row>
    <row r="971" ht="15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55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  <c r="AG971" s="118"/>
    </row>
    <row r="972" ht="15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55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  <c r="AG972" s="118"/>
    </row>
    <row r="973" ht="15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55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  <c r="AG973" s="118"/>
    </row>
    <row r="974" ht="15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55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  <c r="AG974" s="118"/>
    </row>
    <row r="975" ht="15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55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  <c r="AG975" s="118"/>
    </row>
    <row r="976" ht="15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55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  <c r="AG976" s="118"/>
    </row>
    <row r="977" ht="15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55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  <c r="AG977" s="118"/>
    </row>
    <row r="978" ht="15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55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  <c r="AG978" s="118"/>
    </row>
    <row r="979" ht="15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55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  <c r="AG979" s="118"/>
    </row>
    <row r="980" ht="15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55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  <c r="AG980" s="118"/>
    </row>
    <row r="981" ht="15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55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  <c r="AG981" s="118"/>
    </row>
    <row r="982" ht="15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55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  <c r="AG982" s="118"/>
    </row>
    <row r="983" ht="15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55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  <c r="AG983" s="118"/>
    </row>
    <row r="984" ht="15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55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  <c r="AG984" s="118"/>
    </row>
    <row r="985" ht="15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55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  <c r="AG985" s="118"/>
    </row>
    <row r="986" ht="15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55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  <c r="AG986" s="118"/>
    </row>
    <row r="987" ht="15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55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  <c r="AG987" s="118"/>
    </row>
    <row r="988" ht="15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55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  <c r="AG988" s="118"/>
    </row>
    <row r="989" ht="15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55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  <c r="AF989" s="118"/>
      <c r="AG989" s="118"/>
    </row>
    <row r="990" ht="15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55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  <c r="AG990" s="118"/>
    </row>
    <row r="991" ht="15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55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  <c r="AF991" s="118"/>
      <c r="AG991" s="118"/>
    </row>
    <row r="992" ht="15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55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  <c r="AF992" s="118"/>
      <c r="AG992" s="118"/>
    </row>
    <row r="993" ht="15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55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  <c r="AF993" s="118"/>
      <c r="AG993" s="118"/>
    </row>
    <row r="994" ht="15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55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  <c r="AF994" s="118"/>
      <c r="AG994" s="118"/>
    </row>
    <row r="995" ht="15.7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55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  <c r="AF995" s="118"/>
      <c r="AG995" s="118"/>
    </row>
    <row r="996" ht="15.7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55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  <c r="AF996" s="118"/>
      <c r="AG996" s="118"/>
    </row>
    <row r="997" ht="15.7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55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  <c r="AF997" s="118"/>
      <c r="AG997" s="118"/>
    </row>
    <row r="998" ht="15.7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55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  <c r="AF998" s="118"/>
      <c r="AG998" s="118"/>
    </row>
    <row r="999" ht="15.75" customHeight="1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55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  <c r="AE999" s="118"/>
      <c r="AF999" s="118"/>
      <c r="AG999" s="118"/>
    </row>
    <row r="1000" ht="15.75" customHeight="1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55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18"/>
      <c r="AC1000" s="118"/>
      <c r="AD1000" s="118"/>
      <c r="AE1000" s="118"/>
      <c r="AF1000" s="118"/>
      <c r="AG1000" s="118"/>
    </row>
    <row r="1001" ht="15.75" customHeight="1">
      <c r="A1001" s="118"/>
      <c r="B1001" s="118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55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  <c r="AA1001" s="118"/>
      <c r="AB1001" s="118"/>
      <c r="AC1001" s="118"/>
      <c r="AD1001" s="118"/>
      <c r="AE1001" s="118"/>
      <c r="AF1001" s="118"/>
      <c r="AG1001" s="118"/>
    </row>
    <row r="1002" ht="15.75" customHeight="1">
      <c r="A1002" s="118"/>
      <c r="B1002" s="118"/>
      <c r="C1002" s="118"/>
      <c r="D1002" s="118"/>
      <c r="E1002" s="118"/>
      <c r="F1002" s="118"/>
      <c r="G1002" s="118"/>
      <c r="H1002" s="118"/>
      <c r="I1002" s="118"/>
      <c r="J1002" s="118"/>
      <c r="K1002" s="118"/>
      <c r="L1002" s="118"/>
      <c r="M1002" s="118"/>
      <c r="N1002" s="155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  <c r="AA1002" s="118"/>
      <c r="AB1002" s="118"/>
      <c r="AC1002" s="118"/>
      <c r="AD1002" s="118"/>
      <c r="AE1002" s="118"/>
      <c r="AF1002" s="118"/>
      <c r="AG1002" s="118"/>
    </row>
    <row r="1003" ht="15.75" customHeight="1">
      <c r="A1003" s="118"/>
      <c r="B1003" s="118"/>
      <c r="C1003" s="118"/>
      <c r="D1003" s="118"/>
      <c r="E1003" s="118"/>
      <c r="F1003" s="118"/>
      <c r="G1003" s="118"/>
      <c r="H1003" s="118"/>
      <c r="I1003" s="118"/>
      <c r="J1003" s="118"/>
      <c r="K1003" s="118"/>
      <c r="L1003" s="118"/>
      <c r="M1003" s="118"/>
      <c r="N1003" s="155"/>
      <c r="O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  <c r="Y1003" s="118"/>
      <c r="Z1003" s="118"/>
      <c r="AA1003" s="118"/>
      <c r="AB1003" s="118"/>
      <c r="AC1003" s="118"/>
      <c r="AD1003" s="118"/>
      <c r="AE1003" s="118"/>
      <c r="AF1003" s="118"/>
      <c r="AG1003" s="118"/>
    </row>
    <row r="1004" ht="15.75" customHeight="1">
      <c r="A1004" s="118"/>
      <c r="B1004" s="118"/>
      <c r="C1004" s="118"/>
      <c r="D1004" s="118"/>
      <c r="E1004" s="118"/>
      <c r="F1004" s="118"/>
      <c r="G1004" s="118"/>
      <c r="H1004" s="118"/>
      <c r="I1004" s="118"/>
      <c r="J1004" s="118"/>
      <c r="K1004" s="118"/>
      <c r="L1004" s="118"/>
      <c r="M1004" s="118"/>
      <c r="N1004" s="155"/>
      <c r="O1004" s="118"/>
      <c r="P1004" s="118"/>
      <c r="Q1004" s="118"/>
      <c r="R1004" s="118"/>
      <c r="S1004" s="118"/>
      <c r="T1004" s="118"/>
      <c r="U1004" s="118"/>
      <c r="V1004" s="118"/>
      <c r="W1004" s="118"/>
      <c r="X1004" s="118"/>
      <c r="Y1004" s="118"/>
      <c r="Z1004" s="118"/>
      <c r="AA1004" s="118"/>
      <c r="AB1004" s="118"/>
      <c r="AC1004" s="118"/>
      <c r="AD1004" s="118"/>
      <c r="AE1004" s="118"/>
      <c r="AF1004" s="118"/>
      <c r="AG1004" s="118"/>
    </row>
    <row r="1005" ht="15.75" customHeight="1">
      <c r="A1005" s="118"/>
      <c r="B1005" s="118"/>
      <c r="C1005" s="118"/>
      <c r="D1005" s="118"/>
      <c r="E1005" s="118"/>
      <c r="F1005" s="118"/>
      <c r="G1005" s="118"/>
      <c r="H1005" s="118"/>
      <c r="I1005" s="118"/>
      <c r="J1005" s="118"/>
      <c r="K1005" s="118"/>
      <c r="L1005" s="118"/>
      <c r="M1005" s="118"/>
      <c r="N1005" s="155"/>
      <c r="O1005" s="118"/>
      <c r="P1005" s="118"/>
      <c r="Q1005" s="118"/>
      <c r="R1005" s="118"/>
      <c r="S1005" s="118"/>
      <c r="T1005" s="118"/>
      <c r="U1005" s="118"/>
      <c r="V1005" s="118"/>
      <c r="W1005" s="118"/>
      <c r="X1005" s="118"/>
      <c r="Y1005" s="118"/>
      <c r="Z1005" s="118"/>
      <c r="AA1005" s="118"/>
      <c r="AB1005" s="118"/>
      <c r="AC1005" s="118"/>
      <c r="AD1005" s="118"/>
      <c r="AE1005" s="118"/>
      <c r="AF1005" s="118"/>
      <c r="AG1005" s="118"/>
    </row>
    <row r="1006" ht="15.75" customHeight="1">
      <c r="A1006" s="118"/>
      <c r="B1006" s="118"/>
      <c r="C1006" s="118"/>
      <c r="D1006" s="118"/>
      <c r="E1006" s="118"/>
      <c r="F1006" s="118"/>
      <c r="G1006" s="118"/>
      <c r="H1006" s="118"/>
      <c r="I1006" s="118"/>
      <c r="J1006" s="118"/>
      <c r="K1006" s="118"/>
      <c r="L1006" s="118"/>
      <c r="M1006" s="118"/>
      <c r="N1006" s="155"/>
      <c r="O1006" s="118"/>
      <c r="P1006" s="118"/>
      <c r="Q1006" s="118"/>
      <c r="R1006" s="118"/>
      <c r="S1006" s="118"/>
      <c r="T1006" s="118"/>
      <c r="U1006" s="118"/>
      <c r="V1006" s="118"/>
      <c r="W1006" s="118"/>
      <c r="X1006" s="118"/>
      <c r="Y1006" s="118"/>
      <c r="Z1006" s="118"/>
      <c r="AA1006" s="118"/>
      <c r="AB1006" s="118"/>
      <c r="AC1006" s="118"/>
      <c r="AD1006" s="118"/>
      <c r="AE1006" s="118"/>
      <c r="AF1006" s="118"/>
      <c r="AG1006" s="118"/>
    </row>
  </sheetData>
  <mergeCells count="24">
    <mergeCell ref="B1:J1"/>
    <mergeCell ref="K1:M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23:S23"/>
    <mergeCell ref="R24:S24"/>
    <mergeCell ref="Q28:S28"/>
    <mergeCell ref="R15:S15"/>
    <mergeCell ref="R16:S16"/>
    <mergeCell ref="R17:S17"/>
    <mergeCell ref="R18:S18"/>
    <mergeCell ref="Q20:S20"/>
    <mergeCell ref="R21:S21"/>
    <mergeCell ref="R22:S2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1.29"/>
    <col customWidth="1" min="2" max="2" width="14.71"/>
    <col customWidth="1" min="3" max="4" width="21.57"/>
    <col customWidth="1" min="5" max="5" width="13.29"/>
    <col customWidth="1" min="6" max="6" width="7.43"/>
    <col customWidth="1" min="7" max="7" width="13.29"/>
    <col customWidth="1" min="8" max="8" width="13.57"/>
    <col customWidth="1" min="9" max="9" width="5.86"/>
    <col customWidth="1" min="10" max="10" width="13.14"/>
    <col customWidth="1" min="11" max="11" width="7.86"/>
    <col customWidth="1" min="12" max="12" width="6.71"/>
    <col customWidth="1" min="13" max="14" width="8.14"/>
    <col customWidth="1" min="15" max="15" width="8.71"/>
    <col customWidth="1" min="16" max="16" width="15.14"/>
    <col customWidth="1" min="17" max="17" width="22.86"/>
    <col customWidth="1" min="18" max="18" width="15.86"/>
    <col customWidth="1" min="19" max="19" width="8.86"/>
    <col customWidth="1" min="20" max="20" width="11.71"/>
    <col customWidth="1" min="21" max="34" width="8.86"/>
  </cols>
  <sheetData>
    <row r="1" ht="40.5" customHeight="1">
      <c r="A1" s="119"/>
      <c r="B1" s="2" t="s">
        <v>859</v>
      </c>
      <c r="C1" s="3"/>
      <c r="D1" s="3"/>
      <c r="E1" s="3"/>
      <c r="F1" s="3"/>
      <c r="G1" s="3"/>
      <c r="H1" s="3"/>
      <c r="I1" s="3"/>
      <c r="J1" s="4"/>
      <c r="K1" s="5" t="s">
        <v>1</v>
      </c>
      <c r="L1" s="3"/>
      <c r="M1" s="4"/>
      <c r="N1" s="311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</row>
    <row r="2" ht="39.0" customHeight="1">
      <c r="A2" s="8" t="s">
        <v>2</v>
      </c>
      <c r="B2" s="11" t="s">
        <v>3</v>
      </c>
      <c r="C2" s="12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3" t="s">
        <v>12</v>
      </c>
      <c r="L2" s="13" t="s">
        <v>13</v>
      </c>
      <c r="M2" s="159" t="s">
        <v>14</v>
      </c>
      <c r="N2" s="14" t="s">
        <v>15</v>
      </c>
      <c r="O2" s="179" t="s">
        <v>16</v>
      </c>
      <c r="P2" s="410"/>
      <c r="Q2" s="411" t="s">
        <v>599</v>
      </c>
      <c r="R2" s="123" t="s">
        <v>17</v>
      </c>
      <c r="S2" s="124" t="s">
        <v>18</v>
      </c>
      <c r="T2" s="53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</row>
    <row r="3" outlineLevel="1">
      <c r="A3" s="19" t="b">
        <v>0</v>
      </c>
      <c r="B3" s="125" t="s">
        <v>860</v>
      </c>
      <c r="C3" s="126" t="s">
        <v>20</v>
      </c>
      <c r="D3" s="125" t="s">
        <v>21</v>
      </c>
      <c r="E3" s="125">
        <v>2.0</v>
      </c>
      <c r="F3" s="125">
        <v>1.0</v>
      </c>
      <c r="G3" s="125" t="s">
        <v>533</v>
      </c>
      <c r="H3" s="125" t="s">
        <v>23</v>
      </c>
      <c r="I3" s="125" t="s">
        <v>23</v>
      </c>
      <c r="J3" s="402">
        <v>45989.0</v>
      </c>
      <c r="K3" s="19" t="b">
        <v>1</v>
      </c>
      <c r="L3" s="19" t="b">
        <v>0</v>
      </c>
      <c r="M3" s="19" t="b">
        <v>1</v>
      </c>
      <c r="N3" s="19" t="b">
        <v>1</v>
      </c>
      <c r="O3" s="222" t="b">
        <v>0</v>
      </c>
      <c r="P3" s="130"/>
      <c r="Q3" s="130"/>
      <c r="R3" s="126" t="s">
        <v>27</v>
      </c>
      <c r="S3" s="127" t="s">
        <v>28</v>
      </c>
      <c r="T3" s="33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</row>
    <row r="4" outlineLevel="1">
      <c r="A4" s="19" t="b">
        <v>0</v>
      </c>
      <c r="B4" s="34" t="s">
        <v>393</v>
      </c>
      <c r="C4" s="35" t="s">
        <v>20</v>
      </c>
      <c r="D4" s="34" t="s">
        <v>716</v>
      </c>
      <c r="E4" s="34">
        <v>6.0</v>
      </c>
      <c r="F4" s="34">
        <v>2.0</v>
      </c>
      <c r="G4" s="34" t="s">
        <v>30</v>
      </c>
      <c r="H4" s="34" t="s">
        <v>31</v>
      </c>
      <c r="I4" s="34" t="s">
        <v>31</v>
      </c>
      <c r="J4" s="412">
        <v>45964.0</v>
      </c>
      <c r="K4" s="19" t="b">
        <v>1</v>
      </c>
      <c r="L4" s="19" t="b">
        <v>1</v>
      </c>
      <c r="M4" s="19" t="b">
        <v>1</v>
      </c>
      <c r="N4" s="19" t="b">
        <v>1</v>
      </c>
      <c r="O4" s="19" t="b">
        <v>0</v>
      </c>
      <c r="P4" s="130"/>
      <c r="Q4" s="118"/>
      <c r="R4" s="34" t="s">
        <v>128</v>
      </c>
      <c r="S4" s="129" t="s">
        <v>141</v>
      </c>
      <c r="T4" s="39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</row>
    <row r="5" outlineLevel="1">
      <c r="A5" s="19" t="b">
        <v>0</v>
      </c>
      <c r="B5" s="34" t="s">
        <v>146</v>
      </c>
      <c r="C5" s="35" t="s">
        <v>20</v>
      </c>
      <c r="D5" s="35" t="s">
        <v>811</v>
      </c>
      <c r="E5" s="34">
        <v>2.0</v>
      </c>
      <c r="F5" s="35">
        <v>2.0</v>
      </c>
      <c r="G5" s="34" t="s">
        <v>226</v>
      </c>
      <c r="H5" s="34" t="s">
        <v>31</v>
      </c>
      <c r="I5" s="34" t="s">
        <v>31</v>
      </c>
      <c r="J5" s="412">
        <v>45981.0</v>
      </c>
      <c r="K5" s="19" t="b">
        <v>1</v>
      </c>
      <c r="L5" s="19" t="b">
        <v>0</v>
      </c>
      <c r="M5" s="19" t="b">
        <v>0</v>
      </c>
      <c r="N5" s="19" t="b">
        <v>0</v>
      </c>
      <c r="O5" s="19" t="b">
        <v>0</v>
      </c>
      <c r="P5" s="130"/>
      <c r="Q5" s="130"/>
      <c r="R5" s="34" t="s">
        <v>34</v>
      </c>
      <c r="S5" s="129" t="s">
        <v>35</v>
      </c>
      <c r="T5" s="39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</row>
    <row r="6" outlineLevel="1">
      <c r="A6" s="19" t="b">
        <v>0</v>
      </c>
      <c r="B6" s="34" t="s">
        <v>450</v>
      </c>
      <c r="C6" s="35" t="s">
        <v>20</v>
      </c>
      <c r="D6" s="35" t="s">
        <v>861</v>
      </c>
      <c r="E6" s="34">
        <v>3.0</v>
      </c>
      <c r="F6" s="35">
        <v>1.0</v>
      </c>
      <c r="G6" s="34" t="s">
        <v>226</v>
      </c>
      <c r="H6" s="34" t="s">
        <v>31</v>
      </c>
      <c r="I6" s="34" t="s">
        <v>31</v>
      </c>
      <c r="J6" s="413">
        <v>45958.0</v>
      </c>
      <c r="K6" s="19" t="b">
        <v>1</v>
      </c>
      <c r="L6" s="19" t="b">
        <v>0</v>
      </c>
      <c r="M6" s="19" t="b">
        <v>0</v>
      </c>
      <c r="N6" s="19" t="b">
        <v>0</v>
      </c>
      <c r="O6" s="19" t="b">
        <v>0</v>
      </c>
      <c r="P6" s="130"/>
      <c r="Q6" s="118"/>
      <c r="R6" s="34" t="s">
        <v>39</v>
      </c>
      <c r="S6" s="129" t="s">
        <v>40</v>
      </c>
      <c r="T6" s="39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</row>
    <row r="7" outlineLevel="1">
      <c r="A7" s="19" t="b">
        <v>0</v>
      </c>
      <c r="B7" s="34" t="s">
        <v>454</v>
      </c>
      <c r="C7" s="35" t="s">
        <v>20</v>
      </c>
      <c r="D7" s="35" t="s">
        <v>862</v>
      </c>
      <c r="E7" s="34">
        <v>1.0</v>
      </c>
      <c r="F7" s="34">
        <v>1.0</v>
      </c>
      <c r="G7" s="34" t="s">
        <v>27</v>
      </c>
      <c r="H7" s="34" t="s">
        <v>31</v>
      </c>
      <c r="I7" s="34" t="s">
        <v>23</v>
      </c>
      <c r="J7" s="412">
        <v>46029.0</v>
      </c>
      <c r="K7" s="19" t="b">
        <v>0</v>
      </c>
      <c r="L7" s="19" t="b">
        <v>0</v>
      </c>
      <c r="M7" s="19" t="b">
        <v>0</v>
      </c>
      <c r="N7" s="19" t="b">
        <v>0</v>
      </c>
      <c r="O7" s="19" t="b">
        <v>0</v>
      </c>
      <c r="P7" s="130"/>
      <c r="Q7" s="118"/>
      <c r="R7" s="34" t="s">
        <v>42</v>
      </c>
      <c r="S7" s="129" t="s">
        <v>43</v>
      </c>
      <c r="T7" s="39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</row>
    <row r="8" outlineLevel="1">
      <c r="A8" s="19" t="b">
        <v>0</v>
      </c>
      <c r="B8" s="34" t="s">
        <v>863</v>
      </c>
      <c r="C8" s="35" t="s">
        <v>20</v>
      </c>
      <c r="D8" s="34" t="s">
        <v>21</v>
      </c>
      <c r="E8" s="34">
        <v>1.0</v>
      </c>
      <c r="F8" s="34">
        <v>1.0</v>
      </c>
      <c r="G8" s="34" t="s">
        <v>22</v>
      </c>
      <c r="H8" s="34" t="s">
        <v>23</v>
      </c>
      <c r="I8" s="34" t="s">
        <v>23</v>
      </c>
      <c r="J8" s="402">
        <v>45989.0</v>
      </c>
      <c r="K8" s="19" t="b">
        <v>1</v>
      </c>
      <c r="L8" s="19" t="b">
        <v>1</v>
      </c>
      <c r="M8" s="19" t="b">
        <v>1</v>
      </c>
      <c r="N8" s="19" t="b">
        <v>1</v>
      </c>
      <c r="O8" s="19" t="b">
        <v>1</v>
      </c>
      <c r="P8" s="130" t="s">
        <v>864</v>
      </c>
      <c r="Q8" s="130"/>
      <c r="R8" s="50" t="s">
        <v>47</v>
      </c>
      <c r="S8" s="51" t="s">
        <v>48</v>
      </c>
      <c r="T8" s="39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</row>
    <row r="9" outlineLevel="1">
      <c r="A9" s="19" t="b">
        <v>0</v>
      </c>
      <c r="B9" s="34" t="s">
        <v>225</v>
      </c>
      <c r="C9" s="35" t="s">
        <v>20</v>
      </c>
      <c r="D9" s="34" t="s">
        <v>865</v>
      </c>
      <c r="E9" s="34">
        <v>3.0</v>
      </c>
      <c r="F9" s="34">
        <v>1.0</v>
      </c>
      <c r="G9" s="34" t="s">
        <v>140</v>
      </c>
      <c r="H9" s="34" t="s">
        <v>31</v>
      </c>
      <c r="I9" s="34" t="s">
        <v>31</v>
      </c>
      <c r="J9" s="40" t="s">
        <v>866</v>
      </c>
      <c r="K9" s="19" t="b">
        <v>1</v>
      </c>
      <c r="L9" s="19" t="b">
        <v>0</v>
      </c>
      <c r="M9" s="19" t="b">
        <v>0</v>
      </c>
      <c r="N9" s="19" t="b">
        <v>0</v>
      </c>
      <c r="O9" s="19" t="b">
        <v>0</v>
      </c>
      <c r="P9" s="130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</row>
    <row r="10" ht="30.0" customHeight="1" outlineLevel="1">
      <c r="A10" s="19" t="b">
        <v>0</v>
      </c>
      <c r="B10" s="34" t="s">
        <v>324</v>
      </c>
      <c r="C10" s="35" t="s">
        <v>20</v>
      </c>
      <c r="D10" s="34" t="s">
        <v>867</v>
      </c>
      <c r="E10" s="34">
        <v>7.0</v>
      </c>
      <c r="F10" s="34">
        <v>2.0</v>
      </c>
      <c r="G10" s="34" t="s">
        <v>58</v>
      </c>
      <c r="H10" s="34" t="s">
        <v>31</v>
      </c>
      <c r="I10" s="34" t="s">
        <v>31</v>
      </c>
      <c r="J10" s="414">
        <v>46003.0</v>
      </c>
      <c r="K10" s="19" t="b">
        <v>1</v>
      </c>
      <c r="L10" s="19" t="b">
        <v>1</v>
      </c>
      <c r="M10" s="19" t="b">
        <v>1</v>
      </c>
      <c r="N10" s="19" t="b">
        <v>1</v>
      </c>
      <c r="O10" s="59" t="b">
        <v>1</v>
      </c>
      <c r="P10" s="415"/>
      <c r="Q10" s="118"/>
      <c r="R10" s="16" t="s">
        <v>154</v>
      </c>
      <c r="S10" s="17" t="s">
        <v>52</v>
      </c>
      <c r="T10" s="53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</row>
    <row r="11" outlineLevel="1">
      <c r="A11" s="106" t="b">
        <v>0</v>
      </c>
      <c r="B11" s="140" t="s">
        <v>607</v>
      </c>
      <c r="C11" s="86" t="s">
        <v>20</v>
      </c>
      <c r="D11" s="140" t="s">
        <v>865</v>
      </c>
      <c r="E11" s="140">
        <v>2.0</v>
      </c>
      <c r="F11" s="140">
        <v>2.0</v>
      </c>
      <c r="G11" s="140" t="s">
        <v>558</v>
      </c>
      <c r="H11" s="140" t="s">
        <v>31</v>
      </c>
      <c r="I11" s="140" t="s">
        <v>23</v>
      </c>
      <c r="J11" s="211" t="s">
        <v>868</v>
      </c>
      <c r="K11" s="106" t="b">
        <v>0</v>
      </c>
      <c r="L11" s="106" t="b">
        <v>0</v>
      </c>
      <c r="M11" s="106" t="b">
        <v>0</v>
      </c>
      <c r="N11" s="106" t="b">
        <v>0</v>
      </c>
      <c r="O11" s="106" t="b">
        <v>0</v>
      </c>
      <c r="P11" s="215" t="s">
        <v>46</v>
      </c>
      <c r="Q11" s="118"/>
      <c r="R11" s="60" t="s">
        <v>57</v>
      </c>
      <c r="S11" s="61" t="s">
        <v>58</v>
      </c>
      <c r="T11" s="33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</row>
    <row r="12" ht="15.0" customHeight="1" outlineLevel="1">
      <c r="A12" s="19" t="b">
        <v>0</v>
      </c>
      <c r="B12" s="34" t="s">
        <v>467</v>
      </c>
      <c r="C12" s="35" t="s">
        <v>20</v>
      </c>
      <c r="D12" s="34" t="s">
        <v>869</v>
      </c>
      <c r="E12" s="34">
        <v>3.0</v>
      </c>
      <c r="F12" s="34">
        <v>2.0</v>
      </c>
      <c r="G12" s="34" t="s">
        <v>70</v>
      </c>
      <c r="H12" s="34" t="s">
        <v>31</v>
      </c>
      <c r="I12" s="34" t="s">
        <v>870</v>
      </c>
      <c r="J12" s="402">
        <v>45666.0</v>
      </c>
      <c r="K12" s="19" t="b">
        <v>1</v>
      </c>
      <c r="L12" s="19" t="b">
        <v>1</v>
      </c>
      <c r="M12" s="19" t="b">
        <v>1</v>
      </c>
      <c r="N12" s="19" t="b">
        <v>1</v>
      </c>
      <c r="O12" s="19" t="b">
        <v>0</v>
      </c>
      <c r="P12" s="130"/>
      <c r="Q12" s="118"/>
      <c r="R12" s="135" t="s">
        <v>334</v>
      </c>
      <c r="S12" s="75" t="s">
        <v>335</v>
      </c>
      <c r="T12" s="39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</row>
    <row r="13" ht="27.0" customHeight="1" outlineLevel="1">
      <c r="A13" s="19" t="b">
        <v>0</v>
      </c>
      <c r="B13" s="35" t="s">
        <v>609</v>
      </c>
      <c r="C13" s="35" t="s">
        <v>195</v>
      </c>
      <c r="D13" s="35" t="s">
        <v>871</v>
      </c>
      <c r="E13" s="35">
        <v>6.5</v>
      </c>
      <c r="F13" s="35">
        <v>2.0</v>
      </c>
      <c r="G13" s="34" t="s">
        <v>45</v>
      </c>
      <c r="H13" s="35" t="s">
        <v>23</v>
      </c>
      <c r="I13" s="35" t="s">
        <v>23</v>
      </c>
      <c r="J13" s="416">
        <v>46014.0</v>
      </c>
      <c r="K13" s="19" t="b">
        <v>1</v>
      </c>
      <c r="L13" s="19" t="b">
        <v>1</v>
      </c>
      <c r="M13" s="19" t="b">
        <v>1</v>
      </c>
      <c r="N13" s="19" t="b">
        <v>1</v>
      </c>
      <c r="O13" s="19" t="b">
        <v>1</v>
      </c>
      <c r="P13" s="130"/>
      <c r="Q13" s="118"/>
      <c r="R13" s="65" t="s">
        <v>62</v>
      </c>
      <c r="S13" s="66" t="s">
        <v>58</v>
      </c>
      <c r="T13" s="33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</row>
    <row r="14" ht="15.0" customHeight="1" outlineLevel="1">
      <c r="A14" s="19" t="b">
        <v>0</v>
      </c>
      <c r="B14" s="34" t="s">
        <v>722</v>
      </c>
      <c r="C14" s="35" t="s">
        <v>20</v>
      </c>
      <c r="D14" s="34" t="s">
        <v>782</v>
      </c>
      <c r="E14" s="34">
        <v>2.0</v>
      </c>
      <c r="F14" s="34">
        <v>1.0</v>
      </c>
      <c r="G14" s="34" t="s">
        <v>128</v>
      </c>
      <c r="H14" s="34" t="s">
        <v>31</v>
      </c>
      <c r="I14" s="34" t="s">
        <v>31</v>
      </c>
      <c r="J14" s="128">
        <v>45987.0</v>
      </c>
      <c r="K14" s="19" t="b">
        <v>0</v>
      </c>
      <c r="L14" s="19" t="b">
        <v>0</v>
      </c>
      <c r="M14" s="19" t="b">
        <v>0</v>
      </c>
      <c r="N14" s="19" t="b">
        <v>0</v>
      </c>
      <c r="O14" s="19" t="b">
        <v>0</v>
      </c>
      <c r="P14" s="130"/>
      <c r="Q14" s="118"/>
      <c r="R14" s="65" t="s">
        <v>66</v>
      </c>
      <c r="S14" s="69" t="s">
        <v>67</v>
      </c>
      <c r="T14" s="39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</row>
    <row r="15" outlineLevel="1">
      <c r="A15" s="19" t="b">
        <v>0</v>
      </c>
      <c r="B15" s="34" t="s">
        <v>872</v>
      </c>
      <c r="C15" s="35" t="s">
        <v>20</v>
      </c>
      <c r="D15" s="34" t="s">
        <v>21</v>
      </c>
      <c r="E15" s="34">
        <v>2.0</v>
      </c>
      <c r="F15" s="34">
        <v>1.0</v>
      </c>
      <c r="G15" s="34" t="s">
        <v>22</v>
      </c>
      <c r="H15" s="34" t="s">
        <v>23</v>
      </c>
      <c r="I15" s="34" t="s">
        <v>23</v>
      </c>
      <c r="J15" s="417"/>
      <c r="K15" s="19" t="b">
        <v>0</v>
      </c>
      <c r="L15" s="19" t="b">
        <v>0</v>
      </c>
      <c r="M15" s="19" t="b">
        <v>0</v>
      </c>
      <c r="N15" s="19" t="b">
        <v>0</v>
      </c>
      <c r="O15" s="19" t="b">
        <v>0</v>
      </c>
      <c r="P15" s="130" t="s">
        <v>873</v>
      </c>
      <c r="Q15" s="130"/>
      <c r="R15" s="192" t="s">
        <v>343</v>
      </c>
      <c r="S15" s="193" t="s">
        <v>58</v>
      </c>
      <c r="T15" s="39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</row>
    <row r="16" outlineLevel="1">
      <c r="A16" s="19" t="b">
        <v>0</v>
      </c>
      <c r="B16" s="34" t="s">
        <v>469</v>
      </c>
      <c r="C16" s="35" t="s">
        <v>20</v>
      </c>
      <c r="D16" s="34" t="s">
        <v>716</v>
      </c>
      <c r="E16" s="34">
        <v>2.5</v>
      </c>
      <c r="F16" s="34">
        <v>2.0</v>
      </c>
      <c r="G16" s="34" t="s">
        <v>558</v>
      </c>
      <c r="H16" s="34" t="s">
        <v>23</v>
      </c>
      <c r="I16" s="34" t="s">
        <v>31</v>
      </c>
      <c r="J16" s="128">
        <v>46013.0</v>
      </c>
      <c r="K16" s="19" t="b">
        <v>1</v>
      </c>
      <c r="L16" s="19" t="b">
        <v>1</v>
      </c>
      <c r="M16" s="19" t="b">
        <v>1</v>
      </c>
      <c r="N16" s="19" t="b">
        <v>1</v>
      </c>
      <c r="O16" s="408" t="b">
        <v>1</v>
      </c>
      <c r="P16" s="418"/>
      <c r="Q16" s="118"/>
      <c r="R16" s="65" t="s">
        <v>345</v>
      </c>
      <c r="S16" s="193" t="s">
        <v>346</v>
      </c>
      <c r="T16" s="39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</row>
    <row r="17" outlineLevel="1">
      <c r="A17" s="19" t="b">
        <v>0</v>
      </c>
      <c r="B17" s="34" t="s">
        <v>663</v>
      </c>
      <c r="C17" s="35" t="s">
        <v>20</v>
      </c>
      <c r="D17" s="34" t="s">
        <v>782</v>
      </c>
      <c r="E17" s="34">
        <v>1.5</v>
      </c>
      <c r="F17" s="34">
        <v>1.0</v>
      </c>
      <c r="G17" s="34" t="s">
        <v>128</v>
      </c>
      <c r="H17" s="34" t="s">
        <v>31</v>
      </c>
      <c r="I17" s="34" t="s">
        <v>23</v>
      </c>
      <c r="J17" s="131">
        <v>45980.0</v>
      </c>
      <c r="K17" s="19" t="b">
        <v>1</v>
      </c>
      <c r="L17" s="19" t="b">
        <v>0</v>
      </c>
      <c r="M17" s="19" t="b">
        <v>0</v>
      </c>
      <c r="N17" s="19" t="b">
        <v>0</v>
      </c>
      <c r="O17" s="19" t="b">
        <v>0</v>
      </c>
      <c r="P17" s="130"/>
      <c r="Q17" s="130"/>
      <c r="R17" s="65" t="s">
        <v>71</v>
      </c>
      <c r="S17" s="72" t="s">
        <v>58</v>
      </c>
      <c r="T17" s="39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</row>
    <row r="18" outlineLevel="1">
      <c r="A18" s="19" t="b">
        <v>0</v>
      </c>
      <c r="B18" s="34" t="s">
        <v>406</v>
      </c>
      <c r="C18" s="35" t="s">
        <v>77</v>
      </c>
      <c r="D18" s="35" t="s">
        <v>716</v>
      </c>
      <c r="E18" s="34">
        <v>8.0</v>
      </c>
      <c r="F18" s="34">
        <v>2.0</v>
      </c>
      <c r="G18" s="34" t="s">
        <v>45</v>
      </c>
      <c r="H18" s="34" t="s">
        <v>23</v>
      </c>
      <c r="I18" s="34" t="s">
        <v>31</v>
      </c>
      <c r="J18" s="402">
        <v>46010.0</v>
      </c>
      <c r="K18" s="19" t="b">
        <v>1</v>
      </c>
      <c r="L18" s="19" t="b">
        <v>0</v>
      </c>
      <c r="M18" s="19" t="b">
        <v>0</v>
      </c>
      <c r="N18" s="19" t="b">
        <v>0</v>
      </c>
      <c r="O18" s="19" t="b">
        <v>0</v>
      </c>
      <c r="P18" s="130"/>
      <c r="Q18" s="118"/>
      <c r="R18" s="135"/>
      <c r="S18" s="137"/>
      <c r="T18" s="39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</row>
    <row r="19" outlineLevel="1">
      <c r="A19" s="19" t="b">
        <v>0</v>
      </c>
      <c r="B19" s="34" t="s">
        <v>347</v>
      </c>
      <c r="C19" s="35" t="s">
        <v>20</v>
      </c>
      <c r="D19" s="34" t="s">
        <v>874</v>
      </c>
      <c r="E19" s="34">
        <v>4.0</v>
      </c>
      <c r="F19" s="34">
        <v>2.0</v>
      </c>
      <c r="G19" s="34" t="s">
        <v>665</v>
      </c>
      <c r="H19" s="34" t="s">
        <v>31</v>
      </c>
      <c r="I19" s="34" t="s">
        <v>23</v>
      </c>
      <c r="J19" s="402">
        <v>46014.0</v>
      </c>
      <c r="K19" s="19" t="b">
        <v>1</v>
      </c>
      <c r="L19" s="19" t="b">
        <v>1</v>
      </c>
      <c r="M19" s="19" t="b">
        <v>1</v>
      </c>
      <c r="N19" s="19" t="b">
        <v>1</v>
      </c>
      <c r="O19" s="19" t="b">
        <v>1</v>
      </c>
      <c r="P19" s="130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</row>
    <row r="20" outlineLevel="1">
      <c r="A20" s="19" t="b">
        <v>0</v>
      </c>
      <c r="B20" s="34" t="s">
        <v>350</v>
      </c>
      <c r="C20" s="35" t="s">
        <v>20</v>
      </c>
      <c r="D20" s="34" t="s">
        <v>875</v>
      </c>
      <c r="E20" s="34">
        <v>3.0</v>
      </c>
      <c r="F20" s="34">
        <v>2.0</v>
      </c>
      <c r="G20" s="35" t="s">
        <v>876</v>
      </c>
      <c r="H20" s="34" t="s">
        <v>23</v>
      </c>
      <c r="I20" s="34" t="s">
        <v>23</v>
      </c>
      <c r="J20" s="402">
        <v>46014.0</v>
      </c>
      <c r="K20" s="19" t="b">
        <v>1</v>
      </c>
      <c r="L20" s="19" t="b">
        <v>1</v>
      </c>
      <c r="M20" s="19" t="b">
        <v>1</v>
      </c>
      <c r="N20" s="19" t="b">
        <v>1</v>
      </c>
      <c r="O20" s="19" t="b">
        <v>1</v>
      </c>
      <c r="P20" s="130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</row>
    <row r="21" outlineLevel="1">
      <c r="A21" s="19" t="b">
        <v>0</v>
      </c>
      <c r="B21" s="34" t="s">
        <v>482</v>
      </c>
      <c r="C21" s="35" t="s">
        <v>167</v>
      </c>
      <c r="D21" s="34" t="s">
        <v>21</v>
      </c>
      <c r="E21" s="34">
        <v>24.0</v>
      </c>
      <c r="F21" s="34">
        <v>2.0</v>
      </c>
      <c r="G21" s="34" t="s">
        <v>45</v>
      </c>
      <c r="H21" s="34" t="s">
        <v>31</v>
      </c>
      <c r="I21" s="34" t="s">
        <v>31</v>
      </c>
      <c r="J21" s="58" t="s">
        <v>877</v>
      </c>
      <c r="K21" s="19" t="b">
        <v>0</v>
      </c>
      <c r="L21" s="19" t="b">
        <v>0</v>
      </c>
      <c r="M21" s="19" t="b">
        <v>0</v>
      </c>
      <c r="N21" s="19" t="b">
        <v>0</v>
      </c>
      <c r="O21" s="19" t="b">
        <v>0</v>
      </c>
      <c r="P21" s="130"/>
      <c r="Q21" s="130" t="s">
        <v>878</v>
      </c>
      <c r="R21" s="77" t="s">
        <v>79</v>
      </c>
      <c r="S21" s="78"/>
      <c r="T21" s="79"/>
      <c r="V21" s="80" t="s">
        <v>80</v>
      </c>
      <c r="W21" s="73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</row>
    <row r="22" ht="28.5" customHeight="1" outlineLevel="1">
      <c r="A22" s="19" t="b">
        <v>1</v>
      </c>
      <c r="B22" s="34" t="s">
        <v>487</v>
      </c>
      <c r="C22" s="35" t="s">
        <v>77</v>
      </c>
      <c r="D22" s="34" t="s">
        <v>474</v>
      </c>
      <c r="E22" s="35" t="s">
        <v>879</v>
      </c>
      <c r="F22" s="419" t="s">
        <v>880</v>
      </c>
      <c r="G22" s="34" t="s">
        <v>58</v>
      </c>
      <c r="H22" s="34" t="s">
        <v>31</v>
      </c>
      <c r="I22" s="34" t="s">
        <v>31</v>
      </c>
      <c r="J22" s="58" t="s">
        <v>881</v>
      </c>
      <c r="K22" s="19" t="b">
        <v>1</v>
      </c>
      <c r="L22" s="19" t="b">
        <v>0</v>
      </c>
      <c r="M22" s="19" t="b">
        <v>0</v>
      </c>
      <c r="N22" s="19" t="b">
        <v>0</v>
      </c>
      <c r="O22" s="19" t="b">
        <v>0</v>
      </c>
      <c r="P22" s="130"/>
      <c r="Q22" s="130"/>
      <c r="R22" s="81" t="s">
        <v>83</v>
      </c>
      <c r="S22" s="82" t="s">
        <v>84</v>
      </c>
      <c r="T22" s="83"/>
      <c r="U22" s="84" t="s">
        <v>85</v>
      </c>
      <c r="V22" s="85" t="s">
        <v>86</v>
      </c>
      <c r="W22" s="73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</row>
    <row r="23" ht="15.75" customHeight="1" outlineLevel="1">
      <c r="A23" s="19" t="b">
        <v>0</v>
      </c>
      <c r="B23" s="34" t="s">
        <v>882</v>
      </c>
      <c r="C23" s="35" t="s">
        <v>82</v>
      </c>
      <c r="D23" s="34" t="s">
        <v>21</v>
      </c>
      <c r="E23" s="34">
        <v>1.0</v>
      </c>
      <c r="F23" s="34">
        <v>1.0</v>
      </c>
      <c r="G23" s="34" t="s">
        <v>22</v>
      </c>
      <c r="H23" s="34" t="s">
        <v>23</v>
      </c>
      <c r="I23" s="34" t="s">
        <v>23</v>
      </c>
      <c r="J23" s="412">
        <v>45974.0</v>
      </c>
      <c r="K23" s="19" t="b">
        <v>1</v>
      </c>
      <c r="L23" s="19" t="b">
        <v>0</v>
      </c>
      <c r="M23" s="19" t="b">
        <v>1</v>
      </c>
      <c r="N23" s="19" t="b">
        <v>1</v>
      </c>
      <c r="O23" s="19" t="b">
        <v>0</v>
      </c>
      <c r="P23" s="130"/>
      <c r="Q23" s="118"/>
      <c r="R23" s="89" t="s">
        <v>90</v>
      </c>
      <c r="S23" s="82" t="s">
        <v>91</v>
      </c>
      <c r="T23" s="83"/>
      <c r="U23" s="84" t="s">
        <v>85</v>
      </c>
      <c r="V23" s="85" t="s">
        <v>86</v>
      </c>
      <c r="W23" s="73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</row>
    <row r="24" ht="45.75" customHeight="1" outlineLevel="1">
      <c r="A24" s="19" t="b">
        <v>0</v>
      </c>
      <c r="B24" s="34" t="s">
        <v>260</v>
      </c>
      <c r="C24" s="35" t="s">
        <v>20</v>
      </c>
      <c r="D24" s="34" t="s">
        <v>883</v>
      </c>
      <c r="E24" s="34">
        <v>2.5</v>
      </c>
      <c r="F24" s="34">
        <v>1.0</v>
      </c>
      <c r="G24" s="34" t="s">
        <v>128</v>
      </c>
      <c r="H24" s="34" t="s">
        <v>23</v>
      </c>
      <c r="I24" s="34" t="s">
        <v>23</v>
      </c>
      <c r="J24" s="40" t="s">
        <v>884</v>
      </c>
      <c r="K24" s="19" t="b">
        <v>1</v>
      </c>
      <c r="L24" s="19" t="b">
        <v>0</v>
      </c>
      <c r="M24" s="19" t="b">
        <v>0</v>
      </c>
      <c r="N24" s="19" t="b">
        <v>0</v>
      </c>
      <c r="O24" s="19" t="b">
        <v>0</v>
      </c>
      <c r="P24" s="130"/>
      <c r="Q24" s="130"/>
      <c r="R24" s="91" t="s">
        <v>92</v>
      </c>
      <c r="S24" s="82" t="s">
        <v>93</v>
      </c>
      <c r="T24" s="83"/>
      <c r="U24" s="84" t="s">
        <v>85</v>
      </c>
      <c r="V24" s="85" t="s">
        <v>94</v>
      </c>
      <c r="W24" s="73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</row>
    <row r="25" ht="29.25" customHeight="1" outlineLevel="1">
      <c r="A25" s="19" t="b">
        <v>0</v>
      </c>
      <c r="B25" s="420" t="s">
        <v>885</v>
      </c>
      <c r="C25" s="176" t="s">
        <v>20</v>
      </c>
      <c r="D25" s="420" t="s">
        <v>21</v>
      </c>
      <c r="E25" s="420">
        <v>2.5</v>
      </c>
      <c r="F25" s="420">
        <v>1.0</v>
      </c>
      <c r="G25" s="420" t="s">
        <v>22</v>
      </c>
      <c r="H25" s="420" t="s">
        <v>23</v>
      </c>
      <c r="I25" s="420" t="s">
        <v>23</v>
      </c>
      <c r="J25" s="421"/>
      <c r="K25" s="19" t="b">
        <v>0</v>
      </c>
      <c r="L25" s="19" t="b">
        <v>0</v>
      </c>
      <c r="M25" s="19" t="b">
        <v>0</v>
      </c>
      <c r="N25" s="19" t="b">
        <v>0</v>
      </c>
      <c r="O25" s="59" t="b">
        <v>0</v>
      </c>
      <c r="P25" s="415" t="s">
        <v>886</v>
      </c>
      <c r="Q25" s="130"/>
      <c r="R25" s="93" t="s">
        <v>97</v>
      </c>
      <c r="S25" s="94" t="s">
        <v>98</v>
      </c>
      <c r="T25" s="95"/>
      <c r="U25" s="84" t="s">
        <v>85</v>
      </c>
      <c r="V25" s="85" t="s">
        <v>94</v>
      </c>
      <c r="W25" s="73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</row>
    <row r="26" ht="15.75" customHeight="1" outlineLevel="1">
      <c r="A26" s="19" t="b">
        <v>0</v>
      </c>
      <c r="B26" s="34" t="s">
        <v>887</v>
      </c>
      <c r="C26" s="35" t="s">
        <v>107</v>
      </c>
      <c r="D26" s="34" t="s">
        <v>21</v>
      </c>
      <c r="E26" s="34">
        <v>1.0</v>
      </c>
      <c r="F26" s="34">
        <v>1.0</v>
      </c>
      <c r="G26" s="34" t="s">
        <v>22</v>
      </c>
      <c r="H26" s="34" t="s">
        <v>23</v>
      </c>
      <c r="I26" s="34" t="s">
        <v>23</v>
      </c>
      <c r="J26" s="128">
        <v>46022.0</v>
      </c>
      <c r="K26" s="19" t="b">
        <v>1</v>
      </c>
      <c r="L26" s="19" t="b">
        <v>1</v>
      </c>
      <c r="M26" s="19" t="b">
        <v>1</v>
      </c>
      <c r="N26" s="19" t="b">
        <v>1</v>
      </c>
      <c r="O26" s="19" t="b">
        <v>1</v>
      </c>
      <c r="P26" s="130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</row>
    <row r="27" ht="15.75" customHeight="1" outlineLevel="1">
      <c r="A27" s="106" t="b">
        <v>0</v>
      </c>
      <c r="B27" s="86" t="s">
        <v>738</v>
      </c>
      <c r="C27" s="86" t="s">
        <v>628</v>
      </c>
      <c r="D27" s="140" t="s">
        <v>21</v>
      </c>
      <c r="E27" s="140"/>
      <c r="F27" s="140">
        <v>2.0</v>
      </c>
      <c r="G27" s="140" t="s">
        <v>357</v>
      </c>
      <c r="H27" s="140" t="s">
        <v>23</v>
      </c>
      <c r="I27" s="140" t="s">
        <v>23</v>
      </c>
      <c r="J27" s="422">
        <v>46013.0</v>
      </c>
      <c r="K27" s="106" t="b">
        <v>0</v>
      </c>
      <c r="L27" s="106" t="b">
        <v>0</v>
      </c>
      <c r="M27" s="106" t="b">
        <v>0</v>
      </c>
      <c r="N27" s="106" t="b">
        <v>0</v>
      </c>
      <c r="O27" s="106" t="b">
        <v>0</v>
      </c>
      <c r="P27" s="215" t="s">
        <v>46</v>
      </c>
      <c r="Q27" s="423"/>
      <c r="R27" s="424"/>
      <c r="S27" s="424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</row>
    <row r="28" ht="15.75" customHeight="1" outlineLevel="1">
      <c r="A28" s="19" t="b">
        <v>0</v>
      </c>
      <c r="B28" s="34" t="s">
        <v>423</v>
      </c>
      <c r="C28" s="35" t="s">
        <v>20</v>
      </c>
      <c r="D28" s="34" t="s">
        <v>716</v>
      </c>
      <c r="E28" s="34">
        <v>5.0</v>
      </c>
      <c r="F28" s="34">
        <v>2.0</v>
      </c>
      <c r="G28" s="34" t="s">
        <v>58</v>
      </c>
      <c r="H28" s="34" t="s">
        <v>31</v>
      </c>
      <c r="I28" s="34" t="s">
        <v>31</v>
      </c>
      <c r="J28" s="413">
        <v>45971.0</v>
      </c>
      <c r="K28" s="19" t="b">
        <v>1</v>
      </c>
      <c r="L28" s="19" t="b">
        <v>1</v>
      </c>
      <c r="M28" s="19" t="b">
        <v>1</v>
      </c>
      <c r="N28" s="19" t="b">
        <v>1</v>
      </c>
      <c r="O28" s="106" t="b">
        <v>0</v>
      </c>
      <c r="P28" s="367"/>
      <c r="Q28" s="118"/>
      <c r="R28" s="201" t="s">
        <v>362</v>
      </c>
      <c r="S28" s="103" t="str">
        <f>(E3*F3)+(E4*F4)+(E5*F5)+(E6*F6)+(E7*F7)+(E8*F8)+(E9*F9)+(E10*F10)+(E11*F11)+(E12*F12)+(E13*F13)+(E14*F14)+(E15*F15)+(E16*F16)+(E17*F17)+(E18*F18)+(E19*F19)+(E20*F20)+(E21*F21)+(E22*F22)+(E23*F23)+(E24*F24)+(E25*F25)+(E26*F26)+(E27*F27)+(E28*F28)+(E29*F29)+(E30*F30)+(E31*F31)+(E32*F32)+(E33*F33)+(E34*F34)+(E35*F35)+(E36*F36)+(E37*F37)+(E38*F38)+(E39*F39)+(E40*F40)+(E41*F41)+(E42*F42)+(E43*F43)+(E44*F44)+(E45*F45)+(E46*F46)+(E47*F47)+(E48*F48)+(E49*F49)+(E51*F51)+(E52*F52)+(E53*F53)+(E54*F54)+(E55*F55)+(E56*F56)+(E57*F57)+(E58*F58)+(E59*F59)+(E60*F60)+(E61*F61)+(E62*F62)+(E63*F63)+(E64*F64)+(E65*F65)+(E66*F66)+(E67*F67)+(E68*F68)+(E69*F69)+(E70*F70)+(E71*F71)+(E72*F72)+(E73*F73)+(E74*F74)+(E75*F75)+(E76*F76)+(E77*F77)+(E78*F78)+(E79*F79)+(E80*F80)+(E81*F81)+(E82*F82)+(E83*F83)+(E84*F84)+(E85*F85)+(E86*F86)+(E87*F87)+(E88*F88)+(E89*F89)+(E90*F90)+(E91*F91)+(E92*F92)+(E93*F93)+(E94*F94)+(E95*F95)+(E96*F96)+(E97*F97)+(E98*F98)+(E99*F99)+(E100*F100)+(E101*F101)+(E102*F102)+(E103*F103)+(E104*F104)+(E105*F105)</f>
        <v>#VALUE!</v>
      </c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</row>
    <row r="29" ht="15.75" customHeight="1" outlineLevel="1">
      <c r="A29" s="19" t="b">
        <v>0</v>
      </c>
      <c r="B29" s="34" t="s">
        <v>424</v>
      </c>
      <c r="C29" s="35" t="s">
        <v>26</v>
      </c>
      <c r="D29" s="34" t="s">
        <v>716</v>
      </c>
      <c r="E29" s="34">
        <v>20.0</v>
      </c>
      <c r="F29" s="34">
        <v>2.0</v>
      </c>
      <c r="G29" s="34" t="s">
        <v>45</v>
      </c>
      <c r="H29" s="34" t="s">
        <v>31</v>
      </c>
      <c r="I29" s="34" t="s">
        <v>31</v>
      </c>
      <c r="J29" s="58" t="s">
        <v>888</v>
      </c>
      <c r="K29" s="19" t="b">
        <v>1</v>
      </c>
      <c r="L29" s="19" t="b">
        <v>1</v>
      </c>
      <c r="M29" s="19" t="b">
        <v>1</v>
      </c>
      <c r="N29" s="19" t="b">
        <v>1</v>
      </c>
      <c r="O29" s="19" t="b">
        <v>1</v>
      </c>
      <c r="P29" s="425" t="s">
        <v>51</v>
      </c>
      <c r="Q29" s="426" t="s">
        <v>51</v>
      </c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</row>
    <row r="30" ht="15.75" customHeight="1" outlineLevel="1">
      <c r="A30" s="19" t="b">
        <v>0</v>
      </c>
      <c r="B30" s="34" t="s">
        <v>889</v>
      </c>
      <c r="C30" s="35" t="s">
        <v>77</v>
      </c>
      <c r="D30" s="34" t="s">
        <v>21</v>
      </c>
      <c r="E30" s="34">
        <v>16.0</v>
      </c>
      <c r="F30" s="34">
        <v>2.0</v>
      </c>
      <c r="G30" s="34" t="s">
        <v>58</v>
      </c>
      <c r="H30" s="34" t="s">
        <v>23</v>
      </c>
      <c r="I30" s="34" t="s">
        <v>31</v>
      </c>
      <c r="J30" s="58" t="s">
        <v>890</v>
      </c>
      <c r="K30" s="19" t="b">
        <v>1</v>
      </c>
      <c r="L30" s="19" t="b">
        <v>1</v>
      </c>
      <c r="M30" s="19" t="b">
        <v>1</v>
      </c>
      <c r="N30" s="19" t="b">
        <v>1</v>
      </c>
      <c r="O30" s="19" t="b">
        <v>1</v>
      </c>
      <c r="P30" s="130"/>
      <c r="Q30" s="118"/>
      <c r="R30" s="143" t="s">
        <v>192</v>
      </c>
      <c r="S30" s="144"/>
      <c r="T30" s="18"/>
      <c r="U30" s="103">
        <v>685.0</v>
      </c>
      <c r="V30" s="85"/>
      <c r="W30" s="85" t="s">
        <v>891</v>
      </c>
      <c r="AG30" s="118"/>
      <c r="AH30" s="118"/>
    </row>
    <row r="31" ht="15.75" customHeight="1" outlineLevel="1">
      <c r="A31" s="19" t="b">
        <v>0</v>
      </c>
      <c r="B31" s="34" t="s">
        <v>427</v>
      </c>
      <c r="C31" s="35" t="s">
        <v>20</v>
      </c>
      <c r="D31" s="34" t="s">
        <v>716</v>
      </c>
      <c r="E31" s="34">
        <v>6.0</v>
      </c>
      <c r="F31" s="34">
        <v>2.0</v>
      </c>
      <c r="G31" s="34" t="s">
        <v>45</v>
      </c>
      <c r="H31" s="34" t="s">
        <v>31</v>
      </c>
      <c r="I31" s="34" t="s">
        <v>23</v>
      </c>
      <c r="J31" s="412">
        <v>45985.0</v>
      </c>
      <c r="K31" s="19" t="b">
        <v>1</v>
      </c>
      <c r="L31" s="19" t="b">
        <v>1</v>
      </c>
      <c r="M31" s="19" t="b">
        <v>1</v>
      </c>
      <c r="N31" s="19" t="b">
        <v>1</v>
      </c>
      <c r="O31" s="19" t="b">
        <v>0</v>
      </c>
      <c r="P31" s="130"/>
      <c r="Q31" s="130" t="s">
        <v>51</v>
      </c>
      <c r="R31" s="85"/>
      <c r="S31" s="85"/>
      <c r="T31" s="85"/>
      <c r="U31" s="96"/>
      <c r="V31" s="85"/>
      <c r="W31" s="85"/>
      <c r="AG31" s="118"/>
      <c r="AH31" s="118"/>
    </row>
    <row r="32" ht="15.75" customHeight="1" outlineLevel="1">
      <c r="A32" s="19" t="b">
        <v>0</v>
      </c>
      <c r="B32" s="34" t="s">
        <v>428</v>
      </c>
      <c r="C32" s="35" t="s">
        <v>20</v>
      </c>
      <c r="D32" s="35" t="s">
        <v>867</v>
      </c>
      <c r="E32" s="34">
        <v>8.0</v>
      </c>
      <c r="F32" s="34">
        <v>2.0</v>
      </c>
      <c r="G32" s="34" t="s">
        <v>45</v>
      </c>
      <c r="H32" s="34" t="s">
        <v>31</v>
      </c>
      <c r="I32" s="34" t="s">
        <v>31</v>
      </c>
      <c r="J32" s="402">
        <v>46044.0</v>
      </c>
      <c r="K32" s="19" t="b">
        <v>1</v>
      </c>
      <c r="L32" s="19" t="b">
        <v>1</v>
      </c>
      <c r="M32" s="19" t="b">
        <v>1</v>
      </c>
      <c r="N32" s="19" t="b">
        <v>1</v>
      </c>
      <c r="O32" s="59" t="b">
        <v>1</v>
      </c>
      <c r="P32" s="415"/>
      <c r="Q32" s="130"/>
      <c r="R32" s="141" t="s">
        <v>199</v>
      </c>
      <c r="S32" s="102"/>
      <c r="T32" s="103" t="str">
        <f>U30-S28</f>
        <v>#VALUE!</v>
      </c>
      <c r="U32" s="96"/>
      <c r="V32" s="85"/>
      <c r="W32" s="257" t="s">
        <v>744</v>
      </c>
      <c r="X32" s="258"/>
      <c r="Y32" s="258"/>
      <c r="Z32" s="427"/>
      <c r="AG32" s="118"/>
      <c r="AH32" s="118"/>
    </row>
    <row r="33" ht="15.75" customHeight="1" outlineLevel="1">
      <c r="A33" s="106" t="b">
        <v>0</v>
      </c>
      <c r="B33" s="140" t="s">
        <v>429</v>
      </c>
      <c r="C33" s="86" t="s">
        <v>20</v>
      </c>
      <c r="D33" s="140" t="s">
        <v>716</v>
      </c>
      <c r="E33" s="140">
        <v>8.0</v>
      </c>
      <c r="F33" s="140">
        <v>2.0</v>
      </c>
      <c r="G33" s="140" t="s">
        <v>45</v>
      </c>
      <c r="H33" s="140" t="s">
        <v>31</v>
      </c>
      <c r="I33" s="140" t="s">
        <v>31</v>
      </c>
      <c r="J33" s="428" t="s">
        <v>117</v>
      </c>
      <c r="K33" s="106" t="b">
        <v>0</v>
      </c>
      <c r="L33" s="106" t="b">
        <v>0</v>
      </c>
      <c r="M33" s="106" t="b">
        <v>0</v>
      </c>
      <c r="N33" s="106" t="b">
        <v>0</v>
      </c>
      <c r="O33" s="429" t="b">
        <v>0</v>
      </c>
      <c r="P33" s="215" t="s">
        <v>46</v>
      </c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</row>
    <row r="34" ht="15.75" customHeight="1" outlineLevel="1">
      <c r="A34" s="19" t="b">
        <v>0</v>
      </c>
      <c r="B34" s="34" t="s">
        <v>652</v>
      </c>
      <c r="C34" s="35" t="s">
        <v>20</v>
      </c>
      <c r="D34" s="34" t="s">
        <v>21</v>
      </c>
      <c r="E34" s="34">
        <v>1.0</v>
      </c>
      <c r="F34" s="34">
        <v>1.0</v>
      </c>
      <c r="G34" s="34" t="s">
        <v>22</v>
      </c>
      <c r="H34" s="34" t="s">
        <v>23</v>
      </c>
      <c r="I34" s="34" t="s">
        <v>23</v>
      </c>
      <c r="J34" s="430" t="s">
        <v>728</v>
      </c>
      <c r="K34" s="19" t="b">
        <v>0</v>
      </c>
      <c r="L34" s="19" t="b">
        <v>0</v>
      </c>
      <c r="M34" s="19" t="b">
        <v>0</v>
      </c>
      <c r="N34" s="19" t="b">
        <v>0</v>
      </c>
      <c r="O34" s="19" t="b">
        <v>0</v>
      </c>
      <c r="P34" s="130"/>
      <c r="Q34" s="130" t="s">
        <v>892</v>
      </c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</row>
    <row r="35" ht="15.75" customHeight="1" outlineLevel="1">
      <c r="A35" s="19" t="b">
        <v>0</v>
      </c>
      <c r="B35" s="34" t="s">
        <v>893</v>
      </c>
      <c r="C35" s="35" t="s">
        <v>82</v>
      </c>
      <c r="D35" s="34" t="s">
        <v>21</v>
      </c>
      <c r="E35" s="34">
        <v>1.0</v>
      </c>
      <c r="F35" s="34">
        <v>1.0</v>
      </c>
      <c r="G35" s="34" t="s">
        <v>22</v>
      </c>
      <c r="H35" s="34" t="s">
        <v>23</v>
      </c>
      <c r="I35" s="34" t="s">
        <v>23</v>
      </c>
      <c r="J35" s="40" t="s">
        <v>894</v>
      </c>
      <c r="K35" s="19" t="b">
        <v>1</v>
      </c>
      <c r="L35" s="19" t="b">
        <v>1</v>
      </c>
      <c r="M35" s="19" t="b">
        <v>1</v>
      </c>
      <c r="N35" s="19" t="b">
        <v>1</v>
      </c>
      <c r="O35" s="19" t="b">
        <v>1</v>
      </c>
      <c r="P35" s="130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</row>
    <row r="36" ht="15.75" customHeight="1" outlineLevel="1">
      <c r="A36" s="106" t="b">
        <v>0</v>
      </c>
      <c r="B36" s="140" t="s">
        <v>431</v>
      </c>
      <c r="C36" s="86" t="s">
        <v>20</v>
      </c>
      <c r="D36" s="140" t="s">
        <v>716</v>
      </c>
      <c r="E36" s="140">
        <v>12.0</v>
      </c>
      <c r="F36" s="140">
        <v>2.0</v>
      </c>
      <c r="G36" s="140" t="s">
        <v>45</v>
      </c>
      <c r="H36" s="140" t="s">
        <v>31</v>
      </c>
      <c r="I36" s="140" t="s">
        <v>31</v>
      </c>
      <c r="J36" s="213" t="s">
        <v>117</v>
      </c>
      <c r="K36" s="106" t="b">
        <v>1</v>
      </c>
      <c r="L36" s="106" t="b">
        <v>1</v>
      </c>
      <c r="M36" s="106" t="b">
        <v>1</v>
      </c>
      <c r="N36" s="106" t="b">
        <v>1</v>
      </c>
      <c r="O36" s="106" t="b">
        <v>1</v>
      </c>
      <c r="P36" s="215" t="s">
        <v>46</v>
      </c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</row>
    <row r="37" ht="15.75" customHeight="1" outlineLevel="1">
      <c r="A37" s="19" t="b">
        <v>0</v>
      </c>
      <c r="B37" s="140" t="s">
        <v>895</v>
      </c>
      <c r="C37" s="86" t="s">
        <v>20</v>
      </c>
      <c r="D37" s="140" t="s">
        <v>21</v>
      </c>
      <c r="E37" s="140">
        <v>0.5</v>
      </c>
      <c r="F37" s="140">
        <v>1.0</v>
      </c>
      <c r="G37" s="140" t="s">
        <v>34</v>
      </c>
      <c r="H37" s="140" t="s">
        <v>23</v>
      </c>
      <c r="I37" s="140" t="s">
        <v>23</v>
      </c>
      <c r="J37" s="213" t="s">
        <v>117</v>
      </c>
      <c r="K37" s="106" t="b">
        <v>0</v>
      </c>
      <c r="L37" s="19" t="b">
        <v>0</v>
      </c>
      <c r="M37" s="19" t="b">
        <v>0</v>
      </c>
      <c r="N37" s="19" t="b">
        <v>0</v>
      </c>
      <c r="O37" s="19" t="b">
        <v>0</v>
      </c>
      <c r="P37" s="130"/>
      <c r="Q37" s="130" t="s">
        <v>896</v>
      </c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</row>
    <row r="38" ht="15.75" customHeight="1" outlineLevel="1">
      <c r="A38" s="19" t="b">
        <v>0</v>
      </c>
      <c r="B38" s="34" t="s">
        <v>897</v>
      </c>
      <c r="C38" s="35" t="s">
        <v>20</v>
      </c>
      <c r="D38" s="34" t="s">
        <v>21</v>
      </c>
      <c r="E38" s="34">
        <v>1.5</v>
      </c>
      <c r="F38" s="34">
        <v>1.0</v>
      </c>
      <c r="G38" s="34" t="s">
        <v>22</v>
      </c>
      <c r="H38" s="34" t="s">
        <v>23</v>
      </c>
      <c r="I38" s="34" t="s">
        <v>23</v>
      </c>
      <c r="J38" s="128">
        <v>45988.0</v>
      </c>
      <c r="K38" s="19" t="b">
        <v>1</v>
      </c>
      <c r="L38" s="19" t="b">
        <v>0</v>
      </c>
      <c r="M38" s="19" t="b">
        <v>1</v>
      </c>
      <c r="N38" s="19" t="b">
        <v>1</v>
      </c>
      <c r="O38" s="19" t="b">
        <v>0</v>
      </c>
      <c r="P38" s="130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</row>
    <row r="39" ht="15.75" customHeight="1" outlineLevel="1">
      <c r="A39" s="19" t="b">
        <v>0</v>
      </c>
      <c r="B39" s="34" t="s">
        <v>898</v>
      </c>
      <c r="C39" s="35" t="s">
        <v>20</v>
      </c>
      <c r="D39" s="34" t="s">
        <v>21</v>
      </c>
      <c r="E39" s="34"/>
      <c r="F39" s="34"/>
      <c r="G39" s="34" t="s">
        <v>899</v>
      </c>
      <c r="H39" s="34" t="s">
        <v>23</v>
      </c>
      <c r="I39" s="34" t="s">
        <v>23</v>
      </c>
      <c r="J39" s="402">
        <v>46002.0</v>
      </c>
      <c r="K39" s="19" t="b">
        <v>1</v>
      </c>
      <c r="L39" s="19" t="b">
        <v>1</v>
      </c>
      <c r="M39" s="19" t="b">
        <v>1</v>
      </c>
      <c r="N39" s="19" t="b">
        <v>1</v>
      </c>
      <c r="O39" s="19" t="b">
        <v>1</v>
      </c>
      <c r="P39" s="130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</row>
    <row r="40" ht="15.75" customHeight="1" outlineLevel="1">
      <c r="A40" s="19" t="b">
        <v>0</v>
      </c>
      <c r="B40" s="34" t="s">
        <v>900</v>
      </c>
      <c r="C40" s="35" t="s">
        <v>107</v>
      </c>
      <c r="D40" s="34" t="s">
        <v>21</v>
      </c>
      <c r="E40" s="34">
        <v>5.0</v>
      </c>
      <c r="F40" s="34">
        <v>2.0</v>
      </c>
      <c r="G40" s="34" t="s">
        <v>45</v>
      </c>
      <c r="H40" s="34" t="s">
        <v>23</v>
      </c>
      <c r="I40" s="34" t="s">
        <v>23</v>
      </c>
      <c r="J40" s="402">
        <v>46020.0</v>
      </c>
      <c r="K40" s="19" t="b">
        <v>1</v>
      </c>
      <c r="L40" s="19" t="b">
        <v>1</v>
      </c>
      <c r="M40" s="19" t="b">
        <v>1</v>
      </c>
      <c r="N40" s="19" t="b">
        <v>1</v>
      </c>
      <c r="O40" s="19" t="b">
        <v>0</v>
      </c>
      <c r="P40" s="130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</row>
    <row r="41" ht="15.75" customHeight="1" outlineLevel="1">
      <c r="A41" s="19" t="b">
        <v>0</v>
      </c>
      <c r="B41" s="35" t="s">
        <v>639</v>
      </c>
      <c r="C41" s="35" t="s">
        <v>107</v>
      </c>
      <c r="D41" s="35" t="s">
        <v>21</v>
      </c>
      <c r="E41" s="34"/>
      <c r="F41" s="34"/>
      <c r="G41" s="34"/>
      <c r="H41" s="34"/>
      <c r="I41" s="34"/>
      <c r="J41" s="402">
        <v>46020.0</v>
      </c>
      <c r="K41" s="19" t="b">
        <v>1</v>
      </c>
      <c r="L41" s="19" t="b">
        <v>1</v>
      </c>
      <c r="M41" s="19" t="b">
        <v>1</v>
      </c>
      <c r="N41" s="19" t="b">
        <v>1</v>
      </c>
      <c r="O41" s="19" t="b">
        <v>1</v>
      </c>
      <c r="P41" s="130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</row>
    <row r="42" ht="15.75" customHeight="1" outlineLevel="1">
      <c r="A42" s="106" t="b">
        <v>0</v>
      </c>
      <c r="B42" s="140" t="s">
        <v>901</v>
      </c>
      <c r="C42" s="86" t="s">
        <v>107</v>
      </c>
      <c r="D42" s="140" t="s">
        <v>21</v>
      </c>
      <c r="E42" s="140">
        <v>1.0</v>
      </c>
      <c r="F42" s="140">
        <v>1.0</v>
      </c>
      <c r="G42" s="140" t="s">
        <v>22</v>
      </c>
      <c r="H42" s="140" t="s">
        <v>23</v>
      </c>
      <c r="I42" s="140" t="s">
        <v>23</v>
      </c>
      <c r="J42" s="48" t="s">
        <v>46</v>
      </c>
      <c r="K42" s="19" t="b">
        <v>0</v>
      </c>
      <c r="L42" s="19" t="b">
        <v>0</v>
      </c>
      <c r="M42" s="19" t="b">
        <v>0</v>
      </c>
      <c r="N42" s="19" t="b">
        <v>0</v>
      </c>
      <c r="O42" s="19" t="b">
        <v>0</v>
      </c>
      <c r="P42" s="130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</row>
    <row r="43" ht="15.75" customHeight="1" outlineLevel="1">
      <c r="A43" s="19" t="b">
        <v>0</v>
      </c>
      <c r="B43" s="27" t="s">
        <v>121</v>
      </c>
      <c r="C43" s="28" t="s">
        <v>122</v>
      </c>
      <c r="D43" s="27" t="s">
        <v>902</v>
      </c>
      <c r="E43" s="27">
        <v>3.0</v>
      </c>
      <c r="F43" s="27">
        <v>1.0</v>
      </c>
      <c r="G43" s="34" t="s">
        <v>58</v>
      </c>
      <c r="H43" s="27" t="s">
        <v>23</v>
      </c>
      <c r="I43" s="27" t="s">
        <v>31</v>
      </c>
      <c r="J43" s="58" t="s">
        <v>903</v>
      </c>
      <c r="K43" s="19" t="b">
        <v>1</v>
      </c>
      <c r="L43" s="19" t="b">
        <v>0</v>
      </c>
      <c r="M43" s="19" t="b">
        <v>0</v>
      </c>
      <c r="N43" s="19" t="b">
        <v>0</v>
      </c>
      <c r="O43" s="19" t="b">
        <v>0</v>
      </c>
      <c r="P43" s="130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</row>
    <row r="44" ht="15.75" customHeight="1" outlineLevel="1">
      <c r="A44" s="19" t="b">
        <v>0</v>
      </c>
      <c r="B44" s="34" t="s">
        <v>904</v>
      </c>
      <c r="C44" s="35" t="s">
        <v>20</v>
      </c>
      <c r="D44" s="34" t="s">
        <v>21</v>
      </c>
      <c r="E44" s="34">
        <v>1.0</v>
      </c>
      <c r="F44" s="34">
        <v>1.0</v>
      </c>
      <c r="G44" s="34" t="s">
        <v>22</v>
      </c>
      <c r="H44" s="34" t="s">
        <v>23</v>
      </c>
      <c r="I44" s="34" t="s">
        <v>23</v>
      </c>
      <c r="J44" s="402">
        <v>45986.0</v>
      </c>
      <c r="K44" s="19" t="b">
        <v>1</v>
      </c>
      <c r="L44" s="19" t="b">
        <v>0</v>
      </c>
      <c r="M44" s="19" t="b">
        <v>1</v>
      </c>
      <c r="N44" s="19" t="b">
        <v>1</v>
      </c>
      <c r="O44" s="19" t="b">
        <v>0</v>
      </c>
      <c r="P44" s="130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</row>
    <row r="45" ht="15.75" customHeight="1" outlineLevel="1">
      <c r="A45" s="19" t="b">
        <v>0</v>
      </c>
      <c r="B45" s="140" t="s">
        <v>433</v>
      </c>
      <c r="C45" s="86" t="s">
        <v>20</v>
      </c>
      <c r="D45" s="140" t="s">
        <v>782</v>
      </c>
      <c r="E45" s="86">
        <v>2.5</v>
      </c>
      <c r="F45" s="86">
        <v>1.0</v>
      </c>
      <c r="G45" s="140" t="s">
        <v>128</v>
      </c>
      <c r="H45" s="140" t="s">
        <v>31</v>
      </c>
      <c r="I45" s="140" t="s">
        <v>23</v>
      </c>
      <c r="J45" s="48" t="s">
        <v>46</v>
      </c>
      <c r="K45" s="19" t="b">
        <v>0</v>
      </c>
      <c r="L45" s="19" t="b">
        <v>0</v>
      </c>
      <c r="M45" s="19" t="b">
        <v>0</v>
      </c>
      <c r="N45" s="19" t="b">
        <v>0</v>
      </c>
      <c r="O45" s="19" t="b">
        <v>0</v>
      </c>
      <c r="P45" s="130"/>
      <c r="Q45" s="130" t="s">
        <v>905</v>
      </c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</row>
    <row r="46" ht="15.75" customHeight="1" outlineLevel="1">
      <c r="A46" s="19" t="b">
        <v>0</v>
      </c>
      <c r="B46" s="34" t="s">
        <v>434</v>
      </c>
      <c r="C46" s="35" t="s">
        <v>20</v>
      </c>
      <c r="D46" s="34" t="s">
        <v>21</v>
      </c>
      <c r="E46" s="34">
        <v>3.0</v>
      </c>
      <c r="F46" s="34">
        <v>2.0</v>
      </c>
      <c r="G46" s="34" t="s">
        <v>45</v>
      </c>
      <c r="H46" s="34" t="s">
        <v>31</v>
      </c>
      <c r="I46" s="34" t="s">
        <v>23</v>
      </c>
      <c r="J46" s="390">
        <v>45992.0</v>
      </c>
      <c r="K46" s="19" t="b">
        <v>1</v>
      </c>
      <c r="L46" s="19" t="b">
        <v>1</v>
      </c>
      <c r="M46" s="19" t="b">
        <v>1</v>
      </c>
      <c r="N46" s="19" t="b">
        <v>1</v>
      </c>
      <c r="O46" s="59" t="b">
        <v>1</v>
      </c>
      <c r="P46" s="415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</row>
    <row r="47" ht="15.75" customHeight="1" outlineLevel="1">
      <c r="A47" s="19" t="b">
        <v>0</v>
      </c>
      <c r="B47" s="34" t="s">
        <v>906</v>
      </c>
      <c r="C47" s="35" t="s">
        <v>628</v>
      </c>
      <c r="D47" s="34" t="s">
        <v>21</v>
      </c>
      <c r="E47" s="34">
        <v>2.0</v>
      </c>
      <c r="F47" s="34">
        <v>2.0</v>
      </c>
      <c r="G47" s="34" t="s">
        <v>70</v>
      </c>
      <c r="H47" s="34" t="s">
        <v>23</v>
      </c>
      <c r="I47" s="34" t="s">
        <v>23</v>
      </c>
      <c r="J47" s="128">
        <v>46022.0</v>
      </c>
      <c r="K47" s="19" t="b">
        <v>1</v>
      </c>
      <c r="L47" s="19" t="b">
        <v>1</v>
      </c>
      <c r="M47" s="19" t="b">
        <v>1</v>
      </c>
      <c r="N47" s="19" t="b">
        <v>1</v>
      </c>
      <c r="O47" s="19" t="b">
        <v>1</v>
      </c>
      <c r="P47" s="130"/>
      <c r="Q47" s="130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</row>
    <row r="48" ht="15.75" customHeight="1" outlineLevel="1">
      <c r="A48" s="19" t="b">
        <v>0</v>
      </c>
      <c r="B48" s="431" t="s">
        <v>595</v>
      </c>
      <c r="C48" s="35" t="s">
        <v>253</v>
      </c>
      <c r="D48" s="34" t="s">
        <v>596</v>
      </c>
      <c r="E48" s="34">
        <v>8.0</v>
      </c>
      <c r="F48" s="34">
        <v>2.0</v>
      </c>
      <c r="G48" s="34" t="s">
        <v>357</v>
      </c>
      <c r="H48" s="34" t="s">
        <v>31</v>
      </c>
      <c r="I48" s="34" t="s">
        <v>23</v>
      </c>
      <c r="J48" s="430" t="s">
        <v>877</v>
      </c>
      <c r="K48" s="19" t="b">
        <v>1</v>
      </c>
      <c r="L48" s="19" t="b">
        <v>1</v>
      </c>
      <c r="M48" s="19" t="b">
        <v>1</v>
      </c>
      <c r="N48" s="19" t="b">
        <v>1</v>
      </c>
      <c r="O48" s="19" t="b">
        <v>1</v>
      </c>
      <c r="P48" s="130"/>
      <c r="Q48" s="130" t="s">
        <v>907</v>
      </c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</row>
    <row r="49" ht="15.75" customHeight="1" outlineLevel="1">
      <c r="A49" s="19" t="b">
        <v>0</v>
      </c>
      <c r="B49" s="34" t="s">
        <v>908</v>
      </c>
      <c r="C49" s="35" t="s">
        <v>82</v>
      </c>
      <c r="D49" s="34" t="s">
        <v>102</v>
      </c>
      <c r="E49" s="34">
        <v>1.5</v>
      </c>
      <c r="F49" s="34">
        <v>1.0</v>
      </c>
      <c r="G49" s="34" t="s">
        <v>22</v>
      </c>
      <c r="H49" s="34" t="s">
        <v>23</v>
      </c>
      <c r="I49" s="34" t="s">
        <v>23</v>
      </c>
      <c r="J49" s="131">
        <v>45974.0</v>
      </c>
      <c r="K49" s="19" t="b">
        <v>1</v>
      </c>
      <c r="L49" s="19" t="b">
        <v>0</v>
      </c>
      <c r="M49" s="19" t="b">
        <v>1</v>
      </c>
      <c r="N49" s="19" t="b">
        <v>1</v>
      </c>
      <c r="O49" s="19" t="b">
        <v>0</v>
      </c>
      <c r="P49" s="130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</row>
    <row r="50" ht="15.75" customHeight="1" outlineLevel="1">
      <c r="A50" s="19" t="b">
        <v>0</v>
      </c>
      <c r="B50" s="35" t="s">
        <v>442</v>
      </c>
      <c r="C50" s="35" t="s">
        <v>26</v>
      </c>
      <c r="D50" s="35" t="s">
        <v>716</v>
      </c>
      <c r="E50" s="35" t="s">
        <v>909</v>
      </c>
      <c r="F50" s="35">
        <v>2.0</v>
      </c>
      <c r="G50" s="35" t="s">
        <v>45</v>
      </c>
      <c r="H50" s="35" t="s">
        <v>23</v>
      </c>
      <c r="I50" s="34"/>
      <c r="J50" s="40" t="s">
        <v>910</v>
      </c>
      <c r="K50" s="19" t="b">
        <v>1</v>
      </c>
      <c r="L50" s="19" t="b">
        <v>1</v>
      </c>
      <c r="M50" s="19" t="b">
        <v>1</v>
      </c>
      <c r="N50" s="19" t="b">
        <v>1</v>
      </c>
      <c r="O50" s="19" t="b">
        <v>1</v>
      </c>
      <c r="P50" s="130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</row>
    <row r="51" ht="15.75" customHeight="1" outlineLevel="1">
      <c r="A51" s="19" t="b">
        <v>0</v>
      </c>
      <c r="B51" s="35" t="s">
        <v>911</v>
      </c>
      <c r="C51" s="35" t="s">
        <v>20</v>
      </c>
      <c r="D51" s="35" t="s">
        <v>21</v>
      </c>
      <c r="E51" s="34"/>
      <c r="F51" s="34"/>
      <c r="G51" s="34"/>
      <c r="H51" s="34"/>
      <c r="I51" s="34"/>
      <c r="J51" s="105" t="s">
        <v>912</v>
      </c>
      <c r="K51" s="19" t="b">
        <v>0</v>
      </c>
      <c r="L51" s="19" t="b">
        <v>0</v>
      </c>
      <c r="M51" s="19" t="b">
        <v>0</v>
      </c>
      <c r="N51" s="19" t="b">
        <v>0</v>
      </c>
      <c r="O51" s="59" t="b">
        <v>0</v>
      </c>
      <c r="P51" s="415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</row>
    <row r="52" ht="15.75" customHeight="1" outlineLevel="1">
      <c r="A52" s="19" t="b">
        <v>0</v>
      </c>
      <c r="B52" s="35" t="s">
        <v>290</v>
      </c>
      <c r="C52" s="35" t="s">
        <v>20</v>
      </c>
      <c r="D52" s="35" t="s">
        <v>21</v>
      </c>
      <c r="E52" s="35">
        <v>2.0</v>
      </c>
      <c r="F52" s="35">
        <v>2.0</v>
      </c>
      <c r="G52" s="35" t="s">
        <v>70</v>
      </c>
      <c r="H52" s="35" t="s">
        <v>23</v>
      </c>
      <c r="I52" s="35" t="s">
        <v>23</v>
      </c>
      <c r="J52" s="430" t="s">
        <v>913</v>
      </c>
      <c r="K52" s="19" t="b">
        <v>0</v>
      </c>
      <c r="L52" s="19" t="b">
        <v>0</v>
      </c>
      <c r="M52" s="19" t="b">
        <v>0</v>
      </c>
      <c r="N52" s="19" t="b">
        <v>0</v>
      </c>
      <c r="O52" s="59" t="b">
        <v>0</v>
      </c>
      <c r="P52" s="415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</row>
    <row r="53" ht="15.75" customHeight="1" outlineLevel="1">
      <c r="A53" s="19" t="b">
        <v>0</v>
      </c>
      <c r="B53" s="35" t="s">
        <v>293</v>
      </c>
      <c r="C53" s="35" t="s">
        <v>20</v>
      </c>
      <c r="D53" s="35" t="s">
        <v>21</v>
      </c>
      <c r="E53" s="35">
        <v>1.0</v>
      </c>
      <c r="F53" s="35">
        <v>2.0</v>
      </c>
      <c r="G53" s="35" t="s">
        <v>70</v>
      </c>
      <c r="H53" s="35" t="s">
        <v>23</v>
      </c>
      <c r="I53" s="35" t="s">
        <v>23</v>
      </c>
      <c r="J53" s="217"/>
      <c r="K53" s="19" t="b">
        <v>0</v>
      </c>
      <c r="L53" s="19" t="b">
        <v>0</v>
      </c>
      <c r="M53" s="19" t="b">
        <v>0</v>
      </c>
      <c r="N53" s="19" t="b">
        <v>0</v>
      </c>
      <c r="O53" s="59" t="b">
        <v>0</v>
      </c>
      <c r="P53" s="415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</row>
    <row r="54" ht="15.75" customHeight="1" outlineLevel="1">
      <c r="A54" s="19" t="b">
        <v>0</v>
      </c>
      <c r="B54" s="35" t="s">
        <v>316</v>
      </c>
      <c r="C54" s="35" t="s">
        <v>20</v>
      </c>
      <c r="D54" s="35" t="s">
        <v>782</v>
      </c>
      <c r="E54" s="34"/>
      <c r="F54" s="34"/>
      <c r="G54" s="34"/>
      <c r="H54" s="34"/>
      <c r="I54" s="34"/>
      <c r="J54" s="128">
        <v>45974.0</v>
      </c>
      <c r="K54" s="19" t="b">
        <v>1</v>
      </c>
      <c r="L54" s="19" t="b">
        <v>0</v>
      </c>
      <c r="M54" s="19" t="b">
        <v>0</v>
      </c>
      <c r="N54" s="19" t="b">
        <v>0</v>
      </c>
      <c r="O54" s="59" t="b">
        <v>0</v>
      </c>
      <c r="P54" s="415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</row>
    <row r="55" ht="15.75" customHeight="1" outlineLevel="1">
      <c r="A55" s="19" t="b">
        <v>1</v>
      </c>
      <c r="B55" s="35" t="s">
        <v>443</v>
      </c>
      <c r="C55" s="35" t="s">
        <v>20</v>
      </c>
      <c r="D55" s="35" t="s">
        <v>914</v>
      </c>
      <c r="E55" s="35" t="s">
        <v>915</v>
      </c>
      <c r="F55" s="35">
        <v>2.0</v>
      </c>
      <c r="G55" s="34" t="s">
        <v>45</v>
      </c>
      <c r="H55" s="35" t="s">
        <v>916</v>
      </c>
      <c r="I55" s="35" t="s">
        <v>916</v>
      </c>
      <c r="J55" s="40" t="s">
        <v>917</v>
      </c>
      <c r="K55" s="19" t="b">
        <v>1</v>
      </c>
      <c r="L55" s="19" t="b">
        <v>1</v>
      </c>
      <c r="M55" s="19" t="b">
        <v>1</v>
      </c>
      <c r="N55" s="19" t="b">
        <v>1</v>
      </c>
      <c r="O55" s="19" t="b">
        <v>0</v>
      </c>
      <c r="P55" s="415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</row>
    <row r="56" ht="15.75" customHeight="1" outlineLevel="1">
      <c r="A56" s="19" t="b">
        <v>0</v>
      </c>
      <c r="B56" s="35" t="s">
        <v>213</v>
      </c>
      <c r="C56" s="35" t="s">
        <v>20</v>
      </c>
      <c r="D56" s="35" t="s">
        <v>285</v>
      </c>
      <c r="E56" s="34"/>
      <c r="F56" s="34"/>
      <c r="G56" s="35" t="s">
        <v>58</v>
      </c>
      <c r="H56" s="34"/>
      <c r="I56" s="34"/>
      <c r="J56" s="374">
        <v>45966.0</v>
      </c>
      <c r="K56" s="19" t="b">
        <v>1</v>
      </c>
      <c r="L56" s="19" t="b">
        <v>1</v>
      </c>
      <c r="M56" s="19" t="b">
        <v>1</v>
      </c>
      <c r="N56" s="19" t="b">
        <v>1</v>
      </c>
      <c r="O56" s="19" t="b">
        <v>1</v>
      </c>
      <c r="P56" s="415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</row>
    <row r="57" ht="15.75" customHeight="1" outlineLevel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155"/>
      <c r="L57" s="155"/>
      <c r="M57" s="155"/>
      <c r="N57" s="155"/>
      <c r="O57" s="155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</row>
    <row r="58" ht="15.75" customHeight="1" outlineLevel="1">
      <c r="A58" s="34"/>
      <c r="B58" s="34"/>
      <c r="C58" s="34"/>
      <c r="D58" s="34"/>
      <c r="E58" s="34">
        <f>SUM(E2:E56)</f>
        <v>199.5</v>
      </c>
      <c r="F58" s="34"/>
      <c r="G58" s="34"/>
      <c r="H58" s="34"/>
      <c r="I58" s="34"/>
      <c r="J58" s="34"/>
      <c r="K58" s="155"/>
      <c r="L58" s="155"/>
      <c r="M58" s="155"/>
      <c r="N58" s="155"/>
      <c r="O58" s="155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</row>
    <row r="59" ht="15.75" customHeight="1" outlineLevel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155"/>
      <c r="L59" s="155"/>
      <c r="M59" s="155"/>
      <c r="N59" s="155"/>
      <c r="O59" s="155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</row>
    <row r="60" ht="15.75" customHeight="1" outlineLevel="1">
      <c r="A60" s="34"/>
      <c r="B60" s="27"/>
      <c r="C60" s="27"/>
      <c r="D60" s="27"/>
      <c r="E60" s="27"/>
      <c r="F60" s="27"/>
      <c r="G60" s="34"/>
      <c r="H60" s="27"/>
      <c r="I60" s="27"/>
      <c r="J60" s="29"/>
      <c r="K60" s="155"/>
      <c r="L60" s="155"/>
      <c r="M60" s="155"/>
      <c r="N60" s="155"/>
      <c r="O60" s="155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</row>
    <row r="61" ht="15.75" customHeight="1" outlineLevel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155"/>
      <c r="L61" s="155"/>
      <c r="M61" s="155"/>
      <c r="N61" s="155"/>
      <c r="O61" s="155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</row>
    <row r="62" ht="15.75" customHeight="1" outlineLevel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155"/>
      <c r="L62" s="155"/>
      <c r="M62" s="155"/>
      <c r="N62" s="155"/>
      <c r="O62" s="155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</row>
    <row r="63" ht="15.75" customHeight="1" outlineLevel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155"/>
      <c r="L63" s="155"/>
      <c r="M63" s="155"/>
      <c r="N63" s="155"/>
      <c r="O63" s="155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</row>
    <row r="64" ht="15.75" customHeight="1" outlineLevel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155"/>
      <c r="L64" s="155"/>
      <c r="M64" s="155"/>
      <c r="N64" s="155"/>
      <c r="O64" s="155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</row>
    <row r="65" ht="15.75" customHeight="1" outlineLevel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155"/>
      <c r="L65" s="155"/>
      <c r="M65" s="155"/>
      <c r="N65" s="155"/>
      <c r="O65" s="155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</row>
    <row r="66" ht="15.75" customHeight="1" outlineLevel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155"/>
      <c r="L66" s="155"/>
      <c r="M66" s="155"/>
      <c r="N66" s="155"/>
      <c r="O66" s="155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</row>
    <row r="67" ht="15.75" customHeight="1" outlineLevel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155"/>
      <c r="L67" s="155"/>
      <c r="M67" s="155"/>
      <c r="N67" s="155"/>
      <c r="O67" s="155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</row>
    <row r="68" ht="15.75" customHeight="1" outlineLevel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155"/>
      <c r="L68" s="155"/>
      <c r="M68" s="155"/>
      <c r="N68" s="155"/>
      <c r="O68" s="155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</row>
    <row r="69" ht="15.75" customHeight="1" outlineLevel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155"/>
      <c r="L69" s="155"/>
      <c r="M69" s="155"/>
      <c r="N69" s="155"/>
      <c r="O69" s="155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</row>
    <row r="70" ht="15.75" customHeight="1" outlineLevel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155"/>
      <c r="L70" s="155"/>
      <c r="M70" s="155"/>
      <c r="N70" s="155"/>
      <c r="O70" s="155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</row>
    <row r="71" ht="15.75" customHeight="1" outlineLevel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155"/>
      <c r="L71" s="155"/>
      <c r="M71" s="155"/>
      <c r="N71" s="155"/>
      <c r="O71" s="155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</row>
    <row r="72" ht="15.75" customHeight="1" outlineLevel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155"/>
      <c r="L72" s="155"/>
      <c r="M72" s="155"/>
      <c r="N72" s="155"/>
      <c r="O72" s="155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</row>
    <row r="73" ht="15.75" customHeight="1" outlineLevel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155"/>
      <c r="L73" s="155"/>
      <c r="M73" s="155"/>
      <c r="N73" s="155"/>
      <c r="O73" s="155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</row>
    <row r="74" ht="15.75" customHeight="1" outlineLevel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155"/>
      <c r="L74" s="155"/>
      <c r="M74" s="155"/>
      <c r="N74" s="155"/>
      <c r="O74" s="155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</row>
    <row r="75" ht="15.75" customHeight="1" outlineLevel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155"/>
      <c r="L75" s="155"/>
      <c r="M75" s="155"/>
      <c r="N75" s="155"/>
      <c r="O75" s="155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</row>
    <row r="76" ht="15.75" customHeight="1" outlineLevel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155"/>
      <c r="L76" s="155"/>
      <c r="M76" s="155"/>
      <c r="N76" s="155"/>
      <c r="O76" s="155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</row>
    <row r="77" ht="15.75" customHeight="1" outlineLevel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155"/>
      <c r="L77" s="155"/>
      <c r="M77" s="155"/>
      <c r="N77" s="155"/>
      <c r="O77" s="155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</row>
    <row r="78" ht="15.75" customHeight="1" outlineLevel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155"/>
      <c r="L78" s="155"/>
      <c r="M78" s="155"/>
      <c r="N78" s="155"/>
      <c r="O78" s="155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</row>
    <row r="79" ht="15.75" customHeight="1" outlineLevel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155"/>
      <c r="L79" s="155"/>
      <c r="M79" s="155"/>
      <c r="N79" s="155"/>
      <c r="O79" s="155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</row>
    <row r="80" ht="15.75" customHeight="1" outlineLevel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155"/>
      <c r="L80" s="155"/>
      <c r="M80" s="155"/>
      <c r="N80" s="155"/>
      <c r="O80" s="155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</row>
    <row r="81" ht="15.75" customHeight="1" outlineLevel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155"/>
      <c r="L81" s="155"/>
      <c r="M81" s="155"/>
      <c r="N81" s="155"/>
      <c r="O81" s="155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</row>
    <row r="82" ht="15.75" customHeight="1" outlineLevel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155"/>
      <c r="L82" s="155"/>
      <c r="M82" s="155"/>
      <c r="N82" s="155"/>
      <c r="O82" s="155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</row>
    <row r="83" ht="15.75" customHeight="1" outlineLevel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155"/>
      <c r="L83" s="155"/>
      <c r="M83" s="155"/>
      <c r="N83" s="155"/>
      <c r="O83" s="155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</row>
    <row r="84" ht="15.75" customHeight="1" outlineLevel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155"/>
      <c r="L84" s="155"/>
      <c r="M84" s="155"/>
      <c r="N84" s="155"/>
      <c r="O84" s="155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</row>
    <row r="85" ht="15.75" customHeight="1" outlineLevel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155"/>
      <c r="L85" s="155"/>
      <c r="M85" s="155"/>
      <c r="N85" s="155"/>
      <c r="O85" s="155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</row>
    <row r="86" ht="15.75" customHeight="1" outlineLevel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155"/>
      <c r="L86" s="155"/>
      <c r="M86" s="155"/>
      <c r="N86" s="155"/>
      <c r="O86" s="155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</row>
    <row r="87" ht="15.75" customHeight="1" outlineLevel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155"/>
      <c r="L87" s="155"/>
      <c r="M87" s="155"/>
      <c r="N87" s="155"/>
      <c r="O87" s="155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</row>
    <row r="88" ht="15.75" customHeight="1" outlineLevel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155"/>
      <c r="L88" s="155"/>
      <c r="M88" s="155"/>
      <c r="N88" s="155"/>
      <c r="O88" s="155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</row>
    <row r="89" ht="15.75" customHeight="1" outlineLevel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155"/>
      <c r="L89" s="155"/>
      <c r="M89" s="155"/>
      <c r="N89" s="155"/>
      <c r="O89" s="155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</row>
    <row r="90" ht="15.75" customHeight="1" outlineLevel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155"/>
      <c r="L90" s="155"/>
      <c r="M90" s="155"/>
      <c r="N90" s="155"/>
      <c r="O90" s="155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</row>
    <row r="91" ht="15.75" customHeight="1" outlineLevel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155"/>
      <c r="L91" s="155"/>
      <c r="M91" s="155"/>
      <c r="N91" s="155"/>
      <c r="O91" s="155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</row>
    <row r="92" ht="15.75" customHeight="1" outlineLevel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155"/>
      <c r="L92" s="155"/>
      <c r="M92" s="155"/>
      <c r="N92" s="155"/>
      <c r="O92" s="155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</row>
    <row r="93" ht="15.75" customHeight="1" outlineLevel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155"/>
      <c r="L93" s="155"/>
      <c r="M93" s="155"/>
      <c r="N93" s="155"/>
      <c r="O93" s="155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</row>
    <row r="94" ht="15.75" customHeight="1" outlineLevel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155"/>
      <c r="L94" s="155"/>
      <c r="M94" s="155"/>
      <c r="N94" s="155"/>
      <c r="O94" s="155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</row>
    <row r="95" ht="15.75" customHeight="1" outlineLevel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155"/>
      <c r="L95" s="155"/>
      <c r="M95" s="155"/>
      <c r="N95" s="155"/>
      <c r="O95" s="155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</row>
    <row r="96" ht="15.75" customHeight="1" outlineLevel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155"/>
      <c r="L96" s="155"/>
      <c r="M96" s="155"/>
      <c r="N96" s="155"/>
      <c r="O96" s="155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</row>
    <row r="97" ht="15.75" customHeight="1" outlineLevel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155"/>
      <c r="L97" s="155"/>
      <c r="M97" s="155"/>
      <c r="N97" s="155"/>
      <c r="O97" s="155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</row>
    <row r="98" ht="15.75" customHeight="1" outlineLevel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155"/>
      <c r="L98" s="155"/>
      <c r="M98" s="155"/>
      <c r="N98" s="155"/>
      <c r="O98" s="155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</row>
    <row r="99" ht="15.75" customHeight="1" outlineLevel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155"/>
      <c r="L99" s="155"/>
      <c r="M99" s="155"/>
      <c r="N99" s="155"/>
      <c r="O99" s="155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</row>
    <row r="100" ht="15.75" customHeight="1" outlineLevel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155"/>
      <c r="L100" s="155"/>
      <c r="M100" s="155"/>
      <c r="N100" s="155"/>
      <c r="O100" s="155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</row>
    <row r="101" ht="15.75" customHeight="1" outlineLevel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155"/>
      <c r="L101" s="155"/>
      <c r="M101" s="155"/>
      <c r="N101" s="155"/>
      <c r="O101" s="155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</row>
    <row r="102" ht="15.75" customHeight="1" outlineLevel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155"/>
      <c r="L102" s="155"/>
      <c r="M102" s="155"/>
      <c r="N102" s="155"/>
      <c r="O102" s="155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</row>
    <row r="103" ht="15.75" customHeight="1" outlineLevel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155"/>
      <c r="L103" s="155"/>
      <c r="M103" s="155"/>
      <c r="N103" s="155"/>
      <c r="O103" s="155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</row>
    <row r="104" ht="15.75" customHeight="1" outlineLevel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155"/>
      <c r="L104" s="155"/>
      <c r="M104" s="155"/>
      <c r="N104" s="155"/>
      <c r="O104" s="155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</row>
    <row r="105" ht="15.75" customHeight="1" outlineLevel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155"/>
      <c r="L105" s="155"/>
      <c r="M105" s="155"/>
      <c r="N105" s="155"/>
      <c r="O105" s="155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</row>
    <row r="106" ht="15.75" customHeight="1">
      <c r="A106" s="117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</row>
    <row r="107" ht="15.75" customHeight="1">
      <c r="A107" s="117"/>
      <c r="B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</row>
    <row r="108" ht="15.75" customHeight="1">
      <c r="A108" s="118"/>
      <c r="B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</row>
    <row r="109" ht="15.75" customHeight="1">
      <c r="A109" s="118"/>
      <c r="B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</row>
    <row r="110" ht="15.75" customHeight="1">
      <c r="A110" s="118"/>
      <c r="B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</row>
    <row r="111" ht="15.75" customHeight="1">
      <c r="A111" s="118"/>
      <c r="B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</row>
    <row r="112" ht="15.75" customHeight="1">
      <c r="A112" s="118"/>
      <c r="B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</row>
    <row r="113" ht="15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</row>
    <row r="114" ht="15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</row>
    <row r="115" ht="15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307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</row>
    <row r="116" ht="15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55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</row>
    <row r="117" ht="15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55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</row>
    <row r="118" ht="15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55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</row>
    <row r="119" ht="15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55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</row>
    <row r="120" ht="15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55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</row>
    <row r="121" ht="15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55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</row>
    <row r="122" ht="15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55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</row>
    <row r="123" ht="15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55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</row>
    <row r="124" ht="15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55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</row>
    <row r="125" ht="15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55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</row>
    <row r="126" ht="15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55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</row>
    <row r="127" ht="15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55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</row>
    <row r="128" ht="15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55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</row>
    <row r="129" ht="15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55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</row>
    <row r="130" ht="15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55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</row>
    <row r="131" ht="15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55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</row>
    <row r="132" ht="15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55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</row>
    <row r="133" ht="15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55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</row>
    <row r="134" ht="15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55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</row>
    <row r="135" ht="15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55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</row>
    <row r="136" ht="15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55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</row>
    <row r="137" ht="15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55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</row>
    <row r="138" ht="15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55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</row>
    <row r="139" ht="15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55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</row>
    <row r="140" ht="15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55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</row>
    <row r="141" ht="15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55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</row>
    <row r="142" ht="15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55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</row>
    <row r="143" ht="15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55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</row>
    <row r="144" ht="15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55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</row>
    <row r="145" ht="15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55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</row>
    <row r="146" ht="15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55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</row>
    <row r="147" ht="15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55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</row>
    <row r="148" ht="15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55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</row>
    <row r="149" ht="15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55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</row>
    <row r="150" ht="15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55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</row>
    <row r="151" ht="15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55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</row>
    <row r="152" ht="15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55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</row>
    <row r="153" ht="15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55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</row>
    <row r="154" ht="15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55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</row>
    <row r="155" ht="15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55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</row>
    <row r="156" ht="15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55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</row>
    <row r="157" ht="15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55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</row>
    <row r="158" ht="15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55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</row>
    <row r="159" ht="15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55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</row>
    <row r="160" ht="15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55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</row>
    <row r="161" ht="15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55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</row>
    <row r="162" ht="15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55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</row>
    <row r="163" ht="15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55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</row>
    <row r="164" ht="15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55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</row>
    <row r="165" ht="15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55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</row>
    <row r="166" ht="15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55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</row>
    <row r="167" ht="15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55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</row>
    <row r="168" ht="15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55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</row>
    <row r="169" ht="15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55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</row>
    <row r="170" ht="15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55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</row>
    <row r="171" ht="15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55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</row>
    <row r="172" ht="15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55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</row>
    <row r="173" ht="15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55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</row>
    <row r="174" ht="15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55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</row>
    <row r="175" ht="15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55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</row>
    <row r="176" ht="15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55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</row>
    <row r="177" ht="15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55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</row>
    <row r="178" ht="15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55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</row>
    <row r="179" ht="15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55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</row>
    <row r="180" ht="15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55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</row>
    <row r="181" ht="15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55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</row>
    <row r="182" ht="15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55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</row>
    <row r="183" ht="15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55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</row>
    <row r="184" ht="15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55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</row>
    <row r="185" ht="15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55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</row>
    <row r="186" ht="15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55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</row>
    <row r="187" ht="15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55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</row>
    <row r="188" ht="15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55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</row>
    <row r="189" ht="15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55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</row>
    <row r="190" ht="15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55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</row>
    <row r="191" ht="15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55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</row>
    <row r="192" ht="15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55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</row>
    <row r="193" ht="15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55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</row>
    <row r="194" ht="15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55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</row>
    <row r="195" ht="15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55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</row>
    <row r="196" ht="15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55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</row>
    <row r="197" ht="15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55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</row>
    <row r="198" ht="15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55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</row>
    <row r="199" ht="15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55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</row>
    <row r="200" ht="15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55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</row>
    <row r="201" ht="15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55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</row>
    <row r="202" ht="15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55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</row>
    <row r="203" ht="15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55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</row>
    <row r="204" ht="15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55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</row>
    <row r="205" ht="15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55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</row>
    <row r="206" ht="15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55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</row>
    <row r="207" ht="15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55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</row>
    <row r="208" ht="15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55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</row>
    <row r="209" ht="15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55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</row>
    <row r="210" ht="15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55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</row>
    <row r="211" ht="15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55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</row>
    <row r="212" ht="15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55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</row>
    <row r="213" ht="15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55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</row>
    <row r="214" ht="15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55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</row>
    <row r="215" ht="15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55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</row>
    <row r="216" ht="15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55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</row>
    <row r="217" ht="15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55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</row>
    <row r="218" ht="15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55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</row>
    <row r="219" ht="15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55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</row>
    <row r="220" ht="15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55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</row>
    <row r="221" ht="15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55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</row>
    <row r="222" ht="15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55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</row>
    <row r="223" ht="15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55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</row>
    <row r="224" ht="15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55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</row>
    <row r="225" ht="15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55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</row>
    <row r="226" ht="15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55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</row>
    <row r="227" ht="15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55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</row>
    <row r="228" ht="15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55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</row>
    <row r="229" ht="15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55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</row>
    <row r="230" ht="15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55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</row>
    <row r="231" ht="15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55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</row>
    <row r="232" ht="15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55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</row>
    <row r="233" ht="15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55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</row>
    <row r="234" ht="15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55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</row>
    <row r="235" ht="15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55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</row>
    <row r="236" ht="15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55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</row>
    <row r="237" ht="15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55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</row>
    <row r="238" ht="15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55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</row>
    <row r="239" ht="15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55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</row>
    <row r="240" ht="15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55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</row>
    <row r="241" ht="15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55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</row>
    <row r="242" ht="15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55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</row>
    <row r="243" ht="15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55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</row>
    <row r="244" ht="15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55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</row>
    <row r="245" ht="15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55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</row>
    <row r="246" ht="15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55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</row>
    <row r="247" ht="15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55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</row>
    <row r="248" ht="15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55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</row>
    <row r="249" ht="15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55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</row>
    <row r="250" ht="15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55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</row>
    <row r="251" ht="15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55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</row>
    <row r="252" ht="15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55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</row>
    <row r="253" ht="15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55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</row>
    <row r="254" ht="15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55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</row>
    <row r="255" ht="15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55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</row>
    <row r="256" ht="15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55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</row>
    <row r="257" ht="15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55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</row>
    <row r="258" ht="15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55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</row>
    <row r="259" ht="15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55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</row>
    <row r="260" ht="15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55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</row>
    <row r="261" ht="15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55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</row>
    <row r="262" ht="15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55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</row>
    <row r="263" ht="15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55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</row>
    <row r="264" ht="15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55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</row>
    <row r="265" ht="15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55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</row>
    <row r="266" ht="15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55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</row>
    <row r="267" ht="15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55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</row>
    <row r="268" ht="15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55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</row>
    <row r="269" ht="15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55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</row>
    <row r="270" ht="15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55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</row>
    <row r="271" ht="15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55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</row>
    <row r="272" ht="15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55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  <c r="AH272" s="118"/>
    </row>
    <row r="273" ht="15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55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</row>
    <row r="274" ht="15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55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</row>
    <row r="275" ht="15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55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</row>
    <row r="276" ht="15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55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</row>
    <row r="277" ht="15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55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</row>
    <row r="278" ht="15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55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</row>
    <row r="279" ht="15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55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</row>
    <row r="280" ht="15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55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</row>
    <row r="281" ht="15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55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</row>
    <row r="282" ht="15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55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  <c r="AH282" s="118"/>
    </row>
    <row r="283" ht="15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55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</row>
    <row r="284" ht="15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55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</row>
    <row r="285" ht="15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55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</row>
    <row r="286" ht="15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55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</row>
    <row r="287" ht="15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55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</row>
    <row r="288" ht="15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55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</row>
    <row r="289" ht="15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55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</row>
    <row r="290" ht="15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55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</row>
    <row r="291" ht="15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55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</row>
    <row r="292" ht="15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55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</row>
    <row r="293" ht="15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55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</row>
    <row r="294" ht="15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55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</row>
    <row r="295" ht="15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55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</row>
    <row r="296" ht="15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55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</row>
    <row r="297" ht="15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55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</row>
    <row r="298" ht="15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55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</row>
    <row r="299" ht="15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55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</row>
    <row r="300" ht="15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55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  <c r="AH300" s="118"/>
    </row>
    <row r="301" ht="15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55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</row>
    <row r="302" ht="15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55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</row>
    <row r="303" ht="15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55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</row>
    <row r="304" ht="15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55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</row>
    <row r="305" ht="15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55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</row>
    <row r="306" ht="15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55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</row>
    <row r="307" ht="15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55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</row>
    <row r="308" ht="15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55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</row>
    <row r="309" ht="15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55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</row>
    <row r="310" ht="15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55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</row>
    <row r="311" ht="15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55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</row>
    <row r="312" ht="15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55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</row>
    <row r="313" ht="15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55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</row>
    <row r="314" ht="15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55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</row>
    <row r="315" ht="15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55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</row>
    <row r="316" ht="15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55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</row>
    <row r="317" ht="15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55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</row>
    <row r="318" ht="15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55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</row>
    <row r="319" ht="15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55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</row>
    <row r="320" ht="15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55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  <c r="AH320" s="118"/>
    </row>
    <row r="321" ht="15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55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</row>
    <row r="322" ht="15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55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</row>
    <row r="323" ht="15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55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  <c r="AH323" s="118"/>
    </row>
    <row r="324" ht="15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55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  <c r="AH324" s="118"/>
    </row>
    <row r="325" ht="15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55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  <c r="AH325" s="118"/>
    </row>
    <row r="326" ht="15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55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8"/>
    </row>
    <row r="327" ht="15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55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  <c r="AH327" s="118"/>
    </row>
    <row r="328" ht="15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55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  <c r="AH328" s="118"/>
    </row>
    <row r="329" ht="15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55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8"/>
    </row>
    <row r="330" ht="15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55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  <c r="AH330" s="118"/>
    </row>
    <row r="331" ht="15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55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</row>
    <row r="332" ht="15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55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8"/>
    </row>
    <row r="333" ht="15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55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8"/>
    </row>
    <row r="334" ht="15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55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  <c r="AH334" s="118"/>
    </row>
    <row r="335" ht="15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55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  <c r="AH335" s="118"/>
    </row>
    <row r="336" ht="15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55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  <c r="AH336" s="118"/>
    </row>
    <row r="337" ht="15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55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  <c r="AH337" s="118"/>
    </row>
    <row r="338" ht="15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55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  <c r="AH338" s="118"/>
    </row>
    <row r="339" ht="15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55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  <c r="AH339" s="118"/>
    </row>
    <row r="340" ht="15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55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  <c r="AH340" s="118"/>
    </row>
    <row r="341" ht="15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55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  <c r="AH341" s="118"/>
    </row>
    <row r="342" ht="15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55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  <c r="AH342" s="118"/>
    </row>
    <row r="343" ht="15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55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  <c r="AH343" s="118"/>
    </row>
    <row r="344" ht="15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55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  <c r="AH344" s="118"/>
    </row>
    <row r="345" ht="15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55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  <c r="AH345" s="118"/>
    </row>
    <row r="346" ht="15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55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  <c r="AH346" s="118"/>
    </row>
    <row r="347" ht="15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55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  <c r="AH347" s="118"/>
    </row>
    <row r="348" ht="15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55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  <c r="AH348" s="118"/>
    </row>
    <row r="349" ht="15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55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  <c r="AH349" s="118"/>
    </row>
    <row r="350" ht="15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55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  <c r="AH350" s="118"/>
    </row>
    <row r="351" ht="15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55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  <c r="AH351" s="118"/>
    </row>
    <row r="352" ht="15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55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  <c r="AH352" s="118"/>
    </row>
    <row r="353" ht="15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55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  <c r="AH353" s="118"/>
    </row>
    <row r="354" ht="15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55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  <c r="AH354" s="118"/>
    </row>
    <row r="355" ht="15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55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  <c r="AH355" s="118"/>
    </row>
    <row r="356" ht="15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55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  <c r="AH356" s="118"/>
    </row>
    <row r="357" ht="15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55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  <c r="AH357" s="118"/>
    </row>
    <row r="358" ht="15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55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  <c r="AH358" s="118"/>
    </row>
    <row r="359" ht="15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55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  <c r="AH359" s="118"/>
    </row>
    <row r="360" ht="15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55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</row>
    <row r="361" ht="15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55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  <c r="AH361" s="118"/>
    </row>
    <row r="362" ht="15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55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</row>
    <row r="363" ht="15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55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</row>
    <row r="364" ht="15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55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  <c r="AH364" s="118"/>
    </row>
    <row r="365" ht="15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55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  <c r="AH365" s="118"/>
    </row>
    <row r="366" ht="15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55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  <c r="AH366" s="118"/>
    </row>
    <row r="367" ht="15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55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  <c r="AH367" s="118"/>
    </row>
    <row r="368" ht="15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55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  <c r="AH368" s="118"/>
    </row>
    <row r="369" ht="15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55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  <c r="AH369" s="118"/>
    </row>
    <row r="370" ht="15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55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  <c r="AH370" s="118"/>
    </row>
    <row r="371" ht="15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55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  <c r="AH371" s="118"/>
    </row>
    <row r="372" ht="15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55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  <c r="AH372" s="118"/>
    </row>
    <row r="373" ht="15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55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  <c r="AH373" s="118"/>
    </row>
    <row r="374" ht="15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55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  <c r="AH374" s="118"/>
    </row>
    <row r="375" ht="15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55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  <c r="AH375" s="118"/>
    </row>
    <row r="376" ht="15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55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  <c r="AH376" s="118"/>
    </row>
    <row r="377" ht="15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55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  <c r="AH377" s="118"/>
    </row>
    <row r="378" ht="15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55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</row>
    <row r="379" ht="15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55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  <c r="AH379" s="118"/>
    </row>
    <row r="380" ht="15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55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  <c r="AH380" s="118"/>
    </row>
    <row r="381" ht="15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55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8"/>
    </row>
    <row r="382" ht="15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55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8"/>
    </row>
    <row r="383" ht="15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55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</row>
    <row r="384" ht="15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55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  <c r="AH384" s="118"/>
    </row>
    <row r="385" ht="15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55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  <c r="AH385" s="118"/>
    </row>
    <row r="386" ht="15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55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  <c r="AH386" s="118"/>
    </row>
    <row r="387" ht="15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55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  <c r="AH387" s="118"/>
    </row>
    <row r="388" ht="15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55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  <c r="AH388" s="118"/>
    </row>
    <row r="389" ht="15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55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  <c r="AH389" s="118"/>
    </row>
    <row r="390" ht="15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55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  <c r="AH390" s="118"/>
    </row>
    <row r="391" ht="15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55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  <c r="AH391" s="118"/>
    </row>
    <row r="392" ht="15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55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  <c r="AH392" s="118"/>
    </row>
    <row r="393" ht="15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55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  <c r="AH393" s="118"/>
    </row>
    <row r="394" ht="15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55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  <c r="AH394" s="118"/>
    </row>
    <row r="395" ht="15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55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  <c r="AH395" s="118"/>
    </row>
    <row r="396" ht="15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55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  <c r="AH396" s="118"/>
    </row>
    <row r="397" ht="15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55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</row>
    <row r="398" ht="15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55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</row>
    <row r="399" ht="15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55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  <c r="AH399" s="118"/>
    </row>
    <row r="400" ht="15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55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  <c r="AH400" s="118"/>
    </row>
    <row r="401" ht="15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55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  <c r="AH401" s="118"/>
    </row>
    <row r="402" ht="15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55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</row>
    <row r="403" ht="15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55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  <c r="AH403" s="118"/>
    </row>
    <row r="404" ht="15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55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  <c r="AH404" s="118"/>
    </row>
    <row r="405" ht="15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55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  <c r="AH405" s="118"/>
    </row>
    <row r="406" ht="15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55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  <c r="AH406" s="118"/>
    </row>
    <row r="407" ht="15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55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  <c r="AH407" s="118"/>
    </row>
    <row r="408" ht="15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55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  <c r="AH408" s="118"/>
    </row>
    <row r="409" ht="15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55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  <c r="AH409" s="118"/>
    </row>
    <row r="410" ht="15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55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  <c r="AH410" s="118"/>
    </row>
    <row r="411" ht="15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55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  <c r="AH411" s="118"/>
    </row>
    <row r="412" ht="15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55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</row>
    <row r="413" ht="15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55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  <c r="AH413" s="118"/>
    </row>
    <row r="414" ht="15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55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  <c r="AH414" s="118"/>
    </row>
    <row r="415" ht="15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55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  <c r="AH415" s="118"/>
    </row>
    <row r="416" ht="15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55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  <c r="AH416" s="118"/>
    </row>
    <row r="417" ht="15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55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  <c r="AH417" s="118"/>
    </row>
    <row r="418" ht="15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55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  <c r="AH418" s="118"/>
    </row>
    <row r="419" ht="15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55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  <c r="AH419" s="118"/>
    </row>
    <row r="420" ht="15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55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  <c r="AH420" s="118"/>
    </row>
    <row r="421" ht="15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55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  <c r="AH421" s="118"/>
    </row>
    <row r="422" ht="15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55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  <c r="AH422" s="118"/>
    </row>
    <row r="423" ht="15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55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  <c r="AH423" s="118"/>
    </row>
    <row r="424" ht="15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55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  <c r="AH424" s="118"/>
    </row>
    <row r="425" ht="15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55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</row>
    <row r="426" ht="15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55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</row>
    <row r="427" ht="15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55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</row>
    <row r="428" ht="15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55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  <c r="AH428" s="118"/>
    </row>
    <row r="429" ht="15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55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  <c r="AH429" s="118"/>
    </row>
    <row r="430" ht="15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55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</row>
    <row r="431" ht="15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55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</row>
    <row r="432" ht="15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55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</row>
    <row r="433" ht="15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55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</row>
    <row r="434" ht="15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55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8"/>
    </row>
    <row r="435" ht="15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55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8"/>
    </row>
    <row r="436" ht="15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55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8"/>
    </row>
    <row r="437" ht="15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55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8"/>
    </row>
    <row r="438" ht="15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55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</row>
    <row r="439" ht="15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55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</row>
    <row r="440" ht="15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55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</row>
    <row r="441" ht="15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55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</row>
    <row r="442" ht="15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55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</row>
    <row r="443" ht="15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55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</row>
    <row r="444" ht="15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55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</row>
    <row r="445" ht="15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55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</row>
    <row r="446" ht="15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55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</row>
    <row r="447" ht="15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55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</row>
    <row r="448" ht="15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55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</row>
    <row r="449" ht="15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55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</row>
    <row r="450" ht="15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55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</row>
    <row r="451" ht="15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55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</row>
    <row r="452" ht="15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55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</row>
    <row r="453" ht="15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55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  <c r="AH453" s="118"/>
    </row>
    <row r="454" ht="15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55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  <c r="AH454" s="118"/>
    </row>
    <row r="455" ht="15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55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  <c r="AH455" s="118"/>
    </row>
    <row r="456" ht="15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55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  <c r="AH456" s="118"/>
    </row>
    <row r="457" ht="15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55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  <c r="AH457" s="118"/>
    </row>
    <row r="458" ht="15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55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  <c r="AH458" s="118"/>
    </row>
    <row r="459" ht="15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55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  <c r="AH459" s="118"/>
    </row>
    <row r="460" ht="15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55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  <c r="AH460" s="118"/>
    </row>
    <row r="461" ht="15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55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  <c r="AH461" s="118"/>
    </row>
    <row r="462" ht="15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55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  <c r="AH462" s="118"/>
    </row>
    <row r="463" ht="15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55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  <c r="AH463" s="118"/>
    </row>
    <row r="464" ht="15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55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  <c r="AH464" s="118"/>
    </row>
    <row r="465" ht="15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55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  <c r="AH465" s="118"/>
    </row>
    <row r="466" ht="15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55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  <c r="AH466" s="118"/>
    </row>
    <row r="467" ht="15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55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  <c r="AH467" s="118"/>
    </row>
    <row r="468" ht="15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55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  <c r="AH468" s="118"/>
    </row>
    <row r="469" ht="15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55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  <c r="AH469" s="118"/>
    </row>
    <row r="470" ht="15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55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  <c r="AH470" s="118"/>
    </row>
    <row r="471" ht="15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55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  <c r="AH471" s="118"/>
    </row>
    <row r="472" ht="15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55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  <c r="AH472" s="118"/>
    </row>
    <row r="473" ht="15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55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  <c r="AH473" s="118"/>
    </row>
    <row r="474" ht="15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55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  <c r="AH474" s="118"/>
    </row>
    <row r="475" ht="15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55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  <c r="AH475" s="118"/>
    </row>
    <row r="476" ht="15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55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  <c r="AH476" s="118"/>
    </row>
    <row r="477" ht="15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55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  <c r="AH477" s="118"/>
    </row>
    <row r="478" ht="15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55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</row>
    <row r="479" ht="15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55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</row>
    <row r="480" ht="15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55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</row>
    <row r="481" ht="15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55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  <c r="AH481" s="118"/>
    </row>
    <row r="482" ht="15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55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  <c r="AH482" s="118"/>
    </row>
    <row r="483" ht="15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55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  <c r="AH483" s="118"/>
    </row>
    <row r="484" ht="15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55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  <c r="AH484" s="118"/>
    </row>
    <row r="485" ht="15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55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  <c r="AH485" s="118"/>
    </row>
    <row r="486" ht="15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55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</row>
    <row r="487" ht="15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55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</row>
    <row r="488" ht="15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55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</row>
    <row r="489" ht="15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55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8"/>
    </row>
    <row r="490" ht="15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55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</row>
    <row r="491" ht="15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55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  <c r="AH491" s="118"/>
    </row>
    <row r="492" ht="15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55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  <c r="AH492" s="118"/>
    </row>
    <row r="493" ht="15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55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</row>
    <row r="494" ht="15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55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</row>
    <row r="495" ht="15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55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  <c r="AH495" s="118"/>
    </row>
    <row r="496" ht="15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55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  <c r="AH496" s="118"/>
    </row>
    <row r="497" ht="15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55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  <c r="AH497" s="118"/>
    </row>
    <row r="498" ht="15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55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  <c r="AH498" s="118"/>
    </row>
    <row r="499" ht="15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55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  <c r="AH499" s="118"/>
    </row>
    <row r="500" ht="15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55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  <c r="AH500" s="118"/>
    </row>
    <row r="501" ht="15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55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  <c r="AH501" s="118"/>
    </row>
    <row r="502" ht="15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55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</row>
    <row r="503" ht="15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55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  <c r="AH503" s="118"/>
    </row>
    <row r="504" ht="15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55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  <c r="AH504" s="118"/>
    </row>
    <row r="505" ht="15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55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  <c r="AH505" s="118"/>
    </row>
    <row r="506" ht="15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55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  <c r="AH506" s="118"/>
    </row>
    <row r="507" ht="15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55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  <c r="AH507" s="118"/>
    </row>
    <row r="508" ht="15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55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  <c r="AH508" s="118"/>
    </row>
    <row r="509" ht="15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55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  <c r="AH509" s="118"/>
    </row>
    <row r="510" ht="15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55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  <c r="AH510" s="118"/>
    </row>
    <row r="511" ht="15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55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</row>
    <row r="512" ht="15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55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  <c r="AH512" s="118"/>
    </row>
    <row r="513" ht="15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55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  <c r="AH513" s="118"/>
    </row>
    <row r="514" ht="15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55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  <c r="AH514" s="118"/>
    </row>
    <row r="515" ht="15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55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  <c r="AH515" s="118"/>
    </row>
    <row r="516" ht="15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55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  <c r="AH516" s="118"/>
    </row>
    <row r="517" ht="15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55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  <c r="AH517" s="118"/>
    </row>
    <row r="518" ht="15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55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  <c r="AH518" s="118"/>
    </row>
    <row r="519" ht="15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55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  <c r="AH519" s="118"/>
    </row>
    <row r="520" ht="15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55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  <c r="AH520" s="118"/>
    </row>
    <row r="521" ht="15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55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  <c r="AH521" s="118"/>
    </row>
    <row r="522" ht="15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55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  <c r="AH522" s="118"/>
    </row>
    <row r="523" ht="15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55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  <c r="AH523" s="118"/>
    </row>
    <row r="524" ht="15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55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  <c r="AH524" s="118"/>
    </row>
    <row r="525" ht="15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55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  <c r="AH525" s="118"/>
    </row>
    <row r="526" ht="15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55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  <c r="AH526" s="118"/>
    </row>
    <row r="527" ht="15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55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  <c r="AH527" s="118"/>
    </row>
    <row r="528" ht="15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55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  <c r="AH528" s="118"/>
    </row>
    <row r="529" ht="15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55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  <c r="AH529" s="118"/>
    </row>
    <row r="530" ht="15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55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  <c r="AH530" s="118"/>
    </row>
    <row r="531" ht="15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55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  <c r="AH531" s="118"/>
    </row>
    <row r="532" ht="15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55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  <c r="AH532" s="118"/>
    </row>
    <row r="533" ht="15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55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  <c r="AH533" s="118"/>
    </row>
    <row r="534" ht="15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55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  <c r="AH534" s="118"/>
    </row>
    <row r="535" ht="15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55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  <c r="AH535" s="118"/>
    </row>
    <row r="536" ht="15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55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  <c r="AH536" s="118"/>
    </row>
    <row r="537" ht="15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55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  <c r="AH537" s="118"/>
    </row>
    <row r="538" ht="15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55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  <c r="AH538" s="118"/>
    </row>
    <row r="539" ht="15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55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  <c r="AH539" s="118"/>
    </row>
    <row r="540" ht="15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55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  <c r="AH540" s="118"/>
    </row>
    <row r="541" ht="15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55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  <c r="AH541" s="118"/>
    </row>
    <row r="542" ht="15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55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  <c r="AH542" s="118"/>
    </row>
    <row r="543" ht="15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55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  <c r="AH543" s="118"/>
    </row>
    <row r="544" ht="15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55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  <c r="AH544" s="118"/>
    </row>
    <row r="545" ht="15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55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  <c r="AH545" s="118"/>
    </row>
    <row r="546" ht="15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55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  <c r="AH546" s="118"/>
    </row>
    <row r="547" ht="15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55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  <c r="AH547" s="118"/>
    </row>
    <row r="548" ht="15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55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</row>
    <row r="549" ht="15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55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  <c r="AH549" s="118"/>
    </row>
    <row r="550" ht="15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55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  <c r="AH550" s="118"/>
    </row>
    <row r="551" ht="15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55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  <c r="AH551" s="118"/>
    </row>
    <row r="552" ht="15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55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  <c r="AH552" s="118"/>
    </row>
    <row r="553" ht="15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55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  <c r="AH553" s="118"/>
    </row>
    <row r="554" ht="15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55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  <c r="AH554" s="118"/>
    </row>
    <row r="555" ht="15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55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  <c r="AH555" s="118"/>
    </row>
    <row r="556" ht="15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55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  <c r="AH556" s="118"/>
    </row>
    <row r="557" ht="15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55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  <c r="AH557" s="118"/>
    </row>
    <row r="558" ht="15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55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  <c r="AH558" s="118"/>
    </row>
    <row r="559" ht="15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55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  <c r="AH559" s="118"/>
    </row>
    <row r="560" ht="15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55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  <c r="AH560" s="118"/>
    </row>
    <row r="561" ht="15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55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  <c r="AH561" s="118"/>
    </row>
    <row r="562" ht="15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55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  <c r="AH562" s="118"/>
    </row>
    <row r="563" ht="15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55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  <c r="AH563" s="118"/>
    </row>
    <row r="564" ht="15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55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  <c r="AH564" s="118"/>
    </row>
    <row r="565" ht="15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55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  <c r="AH565" s="118"/>
    </row>
    <row r="566" ht="15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55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  <c r="AH566" s="118"/>
    </row>
    <row r="567" ht="15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55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  <c r="AH567" s="118"/>
    </row>
    <row r="568" ht="15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55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  <c r="AH568" s="118"/>
    </row>
    <row r="569" ht="15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55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  <c r="AH569" s="118"/>
    </row>
    <row r="570" ht="15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55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  <c r="AH570" s="118"/>
    </row>
    <row r="571" ht="15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55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  <c r="AH571" s="118"/>
    </row>
    <row r="572" ht="15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55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  <c r="AH572" s="118"/>
    </row>
    <row r="573" ht="15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55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  <c r="AH573" s="118"/>
    </row>
    <row r="574" ht="15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55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  <c r="AH574" s="118"/>
    </row>
    <row r="575" ht="15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55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  <c r="AH575" s="118"/>
    </row>
    <row r="576" ht="15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55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  <c r="AH576" s="118"/>
    </row>
    <row r="577" ht="15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55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  <c r="AH577" s="118"/>
    </row>
    <row r="578" ht="15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55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  <c r="AH578" s="118"/>
    </row>
    <row r="579" ht="15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55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  <c r="AH579" s="118"/>
    </row>
    <row r="580" ht="15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55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  <c r="AH580" s="118"/>
    </row>
    <row r="581" ht="15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55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  <c r="AH581" s="118"/>
    </row>
    <row r="582" ht="15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55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  <c r="AH582" s="118"/>
    </row>
    <row r="583" ht="15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55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  <c r="AH583" s="118"/>
    </row>
    <row r="584" ht="15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55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  <c r="AH584" s="118"/>
    </row>
    <row r="585" ht="15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55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  <c r="AH585" s="118"/>
    </row>
    <row r="586" ht="15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55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  <c r="AH586" s="118"/>
    </row>
    <row r="587" ht="15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55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  <c r="AH587" s="118"/>
    </row>
    <row r="588" ht="15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55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  <c r="AH588" s="118"/>
    </row>
    <row r="589" ht="15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55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  <c r="AH589" s="118"/>
    </row>
    <row r="590" ht="15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55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  <c r="AH590" s="118"/>
    </row>
    <row r="591" ht="15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55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  <c r="AH591" s="118"/>
    </row>
    <row r="592" ht="15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55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  <c r="AH592" s="118"/>
    </row>
    <row r="593" ht="15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55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  <c r="AH593" s="118"/>
    </row>
    <row r="594" ht="15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55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  <c r="AH594" s="118"/>
    </row>
    <row r="595" ht="15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55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  <c r="AH595" s="118"/>
    </row>
    <row r="596" ht="15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55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  <c r="AH596" s="118"/>
    </row>
    <row r="597" ht="15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55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  <c r="AH597" s="118"/>
    </row>
    <row r="598" ht="15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55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  <c r="AH598" s="118"/>
    </row>
    <row r="599" ht="15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55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  <c r="AH599" s="118"/>
    </row>
    <row r="600" ht="15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55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</row>
    <row r="601" ht="15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55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  <c r="AH601" s="118"/>
    </row>
    <row r="602" ht="15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55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  <c r="AH602" s="118"/>
    </row>
    <row r="603" ht="15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55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  <c r="AH603" s="118"/>
    </row>
    <row r="604" ht="15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55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  <c r="AH604" s="118"/>
    </row>
    <row r="605" ht="15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55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  <c r="AH605" s="118"/>
    </row>
    <row r="606" ht="15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55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  <c r="AH606" s="118"/>
    </row>
    <row r="607" ht="15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55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  <c r="AH607" s="118"/>
    </row>
    <row r="608" ht="15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55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  <c r="AH608" s="118"/>
    </row>
    <row r="609" ht="15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55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  <c r="AH609" s="118"/>
    </row>
    <row r="610" ht="15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55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  <c r="AH610" s="118"/>
    </row>
    <row r="611" ht="15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55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  <c r="AH611" s="118"/>
    </row>
    <row r="612" ht="15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55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  <c r="AH612" s="118"/>
    </row>
    <row r="613" ht="15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55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  <c r="AH613" s="118"/>
    </row>
    <row r="614" ht="15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55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  <c r="AH614" s="118"/>
    </row>
    <row r="615" ht="15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55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  <c r="AH615" s="118"/>
    </row>
    <row r="616" ht="15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55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  <c r="AH616" s="118"/>
    </row>
    <row r="617" ht="15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55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  <c r="AH617" s="118"/>
    </row>
    <row r="618" ht="15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55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  <c r="AH618" s="118"/>
    </row>
    <row r="619" ht="15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55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  <c r="AH619" s="118"/>
    </row>
    <row r="620" ht="15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55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  <c r="AH620" s="118"/>
    </row>
    <row r="621" ht="15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55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  <c r="AH621" s="118"/>
    </row>
    <row r="622" ht="15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55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  <c r="AH622" s="118"/>
    </row>
    <row r="623" ht="15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55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  <c r="AH623" s="118"/>
    </row>
    <row r="624" ht="15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55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  <c r="AH624" s="118"/>
    </row>
    <row r="625" ht="15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55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  <c r="AH625" s="118"/>
    </row>
    <row r="626" ht="15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55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  <c r="AH626" s="118"/>
    </row>
    <row r="627" ht="15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55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  <c r="AH627" s="118"/>
    </row>
    <row r="628" ht="15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55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  <c r="AH628" s="118"/>
    </row>
    <row r="629" ht="15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55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  <c r="AH629" s="118"/>
    </row>
    <row r="630" ht="15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55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  <c r="AH630" s="118"/>
    </row>
    <row r="631" ht="15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55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  <c r="AH631" s="118"/>
    </row>
    <row r="632" ht="15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55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  <c r="AH632" s="118"/>
    </row>
    <row r="633" ht="15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55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  <c r="AH633" s="118"/>
    </row>
    <row r="634" ht="15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55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  <c r="AH634" s="118"/>
    </row>
    <row r="635" ht="15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55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  <c r="AH635" s="118"/>
    </row>
    <row r="636" ht="15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55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  <c r="AH636" s="118"/>
    </row>
    <row r="637" ht="15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55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  <c r="AH637" s="118"/>
    </row>
    <row r="638" ht="15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55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  <c r="AH638" s="118"/>
    </row>
    <row r="639" ht="15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55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  <c r="AH639" s="118"/>
    </row>
    <row r="640" ht="15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55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  <c r="AH640" s="118"/>
    </row>
    <row r="641" ht="15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55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  <c r="AH641" s="118"/>
    </row>
    <row r="642" ht="15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55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  <c r="AH642" s="118"/>
    </row>
    <row r="643" ht="15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55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  <c r="AH643" s="118"/>
    </row>
    <row r="644" ht="15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55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  <c r="AH644" s="118"/>
    </row>
    <row r="645" ht="15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55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  <c r="AH645" s="118"/>
    </row>
    <row r="646" ht="15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55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  <c r="AH646" s="118"/>
    </row>
    <row r="647" ht="15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55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  <c r="AH647" s="118"/>
    </row>
    <row r="648" ht="15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55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  <c r="AH648" s="118"/>
    </row>
    <row r="649" ht="15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55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  <c r="AH649" s="118"/>
    </row>
    <row r="650" ht="15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55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  <c r="AH650" s="118"/>
    </row>
    <row r="651" ht="15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55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  <c r="AH651" s="118"/>
    </row>
    <row r="652" ht="15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55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  <c r="AH652" s="118"/>
    </row>
    <row r="653" ht="15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55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  <c r="AH653" s="118"/>
    </row>
    <row r="654" ht="15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55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  <c r="AH654" s="118"/>
    </row>
    <row r="655" ht="15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55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  <c r="AH655" s="118"/>
    </row>
    <row r="656" ht="15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55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  <c r="AH656" s="118"/>
    </row>
    <row r="657" ht="15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55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  <c r="AH657" s="118"/>
    </row>
    <row r="658" ht="15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55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  <c r="AH658" s="118"/>
    </row>
    <row r="659" ht="15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55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  <c r="AH659" s="118"/>
    </row>
    <row r="660" ht="15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55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  <c r="AH660" s="118"/>
    </row>
    <row r="661" ht="15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55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  <c r="AH661" s="118"/>
    </row>
    <row r="662" ht="15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55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  <c r="AH662" s="118"/>
    </row>
    <row r="663" ht="15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55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  <c r="AH663" s="118"/>
    </row>
    <row r="664" ht="15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55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  <c r="AH664" s="118"/>
    </row>
    <row r="665" ht="15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55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  <c r="AH665" s="118"/>
    </row>
    <row r="666" ht="15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55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  <c r="AH666" s="118"/>
    </row>
    <row r="667" ht="15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55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  <c r="AH667" s="118"/>
    </row>
    <row r="668" ht="15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55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  <c r="AH668" s="118"/>
    </row>
    <row r="669" ht="15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55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  <c r="AH669" s="118"/>
    </row>
    <row r="670" ht="15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55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  <c r="AH670" s="118"/>
    </row>
    <row r="671" ht="15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55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  <c r="AH671" s="118"/>
    </row>
    <row r="672" ht="15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55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  <c r="AH672" s="118"/>
    </row>
    <row r="673" ht="15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55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  <c r="AH673" s="118"/>
    </row>
    <row r="674" ht="15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55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  <c r="AH674" s="118"/>
    </row>
    <row r="675" ht="15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55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  <c r="AH675" s="118"/>
    </row>
    <row r="676" ht="15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55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  <c r="AH676" s="118"/>
    </row>
    <row r="677" ht="15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55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  <c r="AH677" s="118"/>
    </row>
    <row r="678" ht="15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55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  <c r="AH678" s="118"/>
    </row>
    <row r="679" ht="15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55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  <c r="AH679" s="118"/>
    </row>
    <row r="680" ht="15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55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  <c r="AH680" s="118"/>
    </row>
    <row r="681" ht="15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55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  <c r="AH681" s="118"/>
    </row>
    <row r="682" ht="15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55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  <c r="AH682" s="118"/>
    </row>
    <row r="683" ht="15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55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  <c r="AH683" s="118"/>
    </row>
    <row r="684" ht="15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55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  <c r="AH684" s="118"/>
    </row>
    <row r="685" ht="15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55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  <c r="AH685" s="118"/>
    </row>
    <row r="686" ht="15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55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  <c r="AH686" s="118"/>
    </row>
    <row r="687" ht="15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55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  <c r="AH687" s="118"/>
    </row>
    <row r="688" ht="15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55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  <c r="AH688" s="118"/>
    </row>
    <row r="689" ht="15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55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  <c r="AH689" s="118"/>
    </row>
    <row r="690" ht="15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55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  <c r="AH690" s="118"/>
    </row>
    <row r="691" ht="15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55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  <c r="AH691" s="118"/>
    </row>
    <row r="692" ht="15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55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  <c r="AH692" s="118"/>
    </row>
    <row r="693" ht="15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55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  <c r="AH693" s="118"/>
    </row>
    <row r="694" ht="15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55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  <c r="AH694" s="118"/>
    </row>
    <row r="695" ht="15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55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  <c r="AH695" s="118"/>
    </row>
    <row r="696" ht="15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55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  <c r="AH696" s="118"/>
    </row>
    <row r="697" ht="15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55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  <c r="AH697" s="118"/>
    </row>
    <row r="698" ht="15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55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  <c r="AH698" s="118"/>
    </row>
    <row r="699" ht="15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55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  <c r="AH699" s="118"/>
    </row>
    <row r="700" ht="15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55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  <c r="AH700" s="118"/>
    </row>
    <row r="701" ht="15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55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  <c r="AH701" s="118"/>
    </row>
    <row r="702" ht="15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55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  <c r="AH702" s="118"/>
    </row>
    <row r="703" ht="15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55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  <c r="AH703" s="118"/>
    </row>
    <row r="704" ht="15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55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  <c r="AH704" s="118"/>
    </row>
    <row r="705" ht="15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55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  <c r="AH705" s="118"/>
    </row>
    <row r="706" ht="15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55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  <c r="AH706" s="118"/>
    </row>
    <row r="707" ht="15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55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  <c r="AH707" s="118"/>
    </row>
    <row r="708" ht="15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55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  <c r="AH708" s="118"/>
    </row>
    <row r="709" ht="15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55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  <c r="AH709" s="118"/>
    </row>
    <row r="710" ht="15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55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  <c r="AH710" s="118"/>
    </row>
    <row r="711" ht="15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55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  <c r="AH711" s="118"/>
    </row>
    <row r="712" ht="15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55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  <c r="AH712" s="118"/>
    </row>
    <row r="713" ht="15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55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  <c r="AH713" s="118"/>
    </row>
    <row r="714" ht="15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55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  <c r="AH714" s="118"/>
    </row>
    <row r="715" ht="15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55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  <c r="AH715" s="118"/>
    </row>
    <row r="716" ht="15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55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  <c r="AH716" s="118"/>
    </row>
    <row r="717" ht="15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55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  <c r="AH717" s="118"/>
    </row>
    <row r="718" ht="15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55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  <c r="AH718" s="118"/>
    </row>
    <row r="719" ht="15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55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  <c r="AH719" s="118"/>
    </row>
    <row r="720" ht="15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55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  <c r="AH720" s="118"/>
    </row>
    <row r="721" ht="15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55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  <c r="AH721" s="118"/>
    </row>
    <row r="722" ht="15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55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  <c r="AH722" s="118"/>
    </row>
    <row r="723" ht="15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55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  <c r="AH723" s="118"/>
    </row>
    <row r="724" ht="15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55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  <c r="AH724" s="118"/>
    </row>
    <row r="725" ht="15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55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  <c r="AH725" s="118"/>
    </row>
    <row r="726" ht="15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55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  <c r="AH726" s="118"/>
    </row>
    <row r="727" ht="15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55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  <c r="AH727" s="118"/>
    </row>
    <row r="728" ht="15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55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  <c r="AH728" s="118"/>
    </row>
    <row r="729" ht="15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55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  <c r="AH729" s="118"/>
    </row>
    <row r="730" ht="15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55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  <c r="AH730" s="118"/>
    </row>
    <row r="731" ht="15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55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  <c r="AH731" s="118"/>
    </row>
    <row r="732" ht="15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55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  <c r="AH732" s="118"/>
    </row>
    <row r="733" ht="15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55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  <c r="AH733" s="118"/>
    </row>
    <row r="734" ht="15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55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  <c r="AH734" s="118"/>
    </row>
    <row r="735" ht="15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55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  <c r="AH735" s="118"/>
    </row>
    <row r="736" ht="15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55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  <c r="AH736" s="118"/>
    </row>
    <row r="737" ht="15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55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  <c r="AH737" s="118"/>
    </row>
    <row r="738" ht="15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55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  <c r="AH738" s="118"/>
    </row>
    <row r="739" ht="15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55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  <c r="AH739" s="118"/>
    </row>
    <row r="740" ht="15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55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  <c r="AH740" s="118"/>
    </row>
    <row r="741" ht="15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55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  <c r="AH741" s="118"/>
    </row>
    <row r="742" ht="15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55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  <c r="AH742" s="118"/>
    </row>
    <row r="743" ht="15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55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  <c r="AH743" s="118"/>
    </row>
    <row r="744" ht="15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55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  <c r="AH744" s="118"/>
    </row>
    <row r="745" ht="15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55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  <c r="AH745" s="118"/>
    </row>
    <row r="746" ht="15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55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  <c r="AH746" s="118"/>
    </row>
    <row r="747" ht="15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55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  <c r="AH747" s="118"/>
    </row>
    <row r="748" ht="15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55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  <c r="AH748" s="118"/>
    </row>
    <row r="749" ht="15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55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  <c r="AH749" s="118"/>
    </row>
    <row r="750" ht="15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55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  <c r="AH750" s="118"/>
    </row>
    <row r="751" ht="15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55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  <c r="AH751" s="118"/>
    </row>
    <row r="752" ht="15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55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  <c r="AH752" s="118"/>
    </row>
    <row r="753" ht="15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55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  <c r="AH753" s="118"/>
    </row>
    <row r="754" ht="15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55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  <c r="AH754" s="118"/>
    </row>
    <row r="755" ht="15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55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  <c r="AH755" s="118"/>
    </row>
    <row r="756" ht="15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55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  <c r="AH756" s="118"/>
    </row>
    <row r="757" ht="15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55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  <c r="AH757" s="118"/>
    </row>
    <row r="758" ht="15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55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  <c r="AH758" s="118"/>
    </row>
    <row r="759" ht="15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55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  <c r="AH759" s="118"/>
    </row>
    <row r="760" ht="15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55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  <c r="AH760" s="118"/>
    </row>
    <row r="761" ht="15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55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  <c r="AH761" s="118"/>
    </row>
    <row r="762" ht="15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55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  <c r="AH762" s="118"/>
    </row>
    <row r="763" ht="15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55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  <c r="AH763" s="118"/>
    </row>
    <row r="764" ht="15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55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  <c r="AH764" s="118"/>
    </row>
    <row r="765" ht="15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55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  <c r="AH765" s="118"/>
    </row>
    <row r="766" ht="15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55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  <c r="AH766" s="118"/>
    </row>
    <row r="767" ht="15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55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  <c r="AH767" s="118"/>
    </row>
    <row r="768" ht="15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55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  <c r="AH768" s="118"/>
    </row>
    <row r="769" ht="15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55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  <c r="AH769" s="118"/>
    </row>
    <row r="770" ht="15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55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  <c r="AH770" s="118"/>
    </row>
    <row r="771" ht="15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55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  <c r="AH771" s="118"/>
    </row>
    <row r="772" ht="15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55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  <c r="AH772" s="118"/>
    </row>
    <row r="773" ht="15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55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  <c r="AH773" s="118"/>
    </row>
    <row r="774" ht="15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55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  <c r="AH774" s="118"/>
    </row>
    <row r="775" ht="15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55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  <c r="AH775" s="118"/>
    </row>
    <row r="776" ht="15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55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  <c r="AH776" s="118"/>
    </row>
    <row r="777" ht="15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55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  <c r="AH777" s="118"/>
    </row>
    <row r="778" ht="15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55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  <c r="AH778" s="118"/>
    </row>
    <row r="779" ht="15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55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  <c r="AH779" s="118"/>
    </row>
    <row r="780" ht="15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55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  <c r="AH780" s="118"/>
    </row>
    <row r="781" ht="15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55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  <c r="AH781" s="118"/>
    </row>
    <row r="782" ht="15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55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  <c r="AH782" s="118"/>
    </row>
    <row r="783" ht="15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55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  <c r="AH783" s="118"/>
    </row>
    <row r="784" ht="15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55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  <c r="AH784" s="118"/>
    </row>
    <row r="785" ht="15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55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  <c r="AH785" s="118"/>
    </row>
    <row r="786" ht="15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55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  <c r="AH786" s="118"/>
    </row>
    <row r="787" ht="15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55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  <c r="AH787" s="118"/>
    </row>
    <row r="788" ht="15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55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  <c r="AH788" s="118"/>
    </row>
    <row r="789" ht="15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55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  <c r="AH789" s="118"/>
    </row>
    <row r="790" ht="15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55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  <c r="AH790" s="118"/>
    </row>
    <row r="791" ht="15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55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  <c r="AH791" s="118"/>
    </row>
    <row r="792" ht="15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55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  <c r="AH792" s="118"/>
    </row>
    <row r="793" ht="15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55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  <c r="AH793" s="118"/>
    </row>
    <row r="794" ht="15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55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  <c r="AH794" s="118"/>
    </row>
    <row r="795" ht="15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55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  <c r="AH795" s="118"/>
    </row>
    <row r="796" ht="15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55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  <c r="AH796" s="118"/>
    </row>
    <row r="797" ht="15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55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  <c r="AH797" s="118"/>
    </row>
    <row r="798" ht="15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55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  <c r="AH798" s="118"/>
    </row>
    <row r="799" ht="15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55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  <c r="AH799" s="118"/>
    </row>
    <row r="800" ht="15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55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  <c r="AH800" s="118"/>
    </row>
    <row r="801" ht="15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55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  <c r="AH801" s="118"/>
    </row>
    <row r="802" ht="15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55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  <c r="AH802" s="118"/>
    </row>
    <row r="803" ht="15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55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  <c r="AH803" s="118"/>
    </row>
    <row r="804" ht="15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55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  <c r="AH804" s="118"/>
    </row>
    <row r="805" ht="15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55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  <c r="AH805" s="118"/>
    </row>
    <row r="806" ht="15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55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  <c r="AH806" s="118"/>
    </row>
    <row r="807" ht="15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55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  <c r="AH807" s="118"/>
    </row>
    <row r="808" ht="15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55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  <c r="AH808" s="118"/>
    </row>
    <row r="809" ht="15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55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  <c r="AH809" s="118"/>
    </row>
    <row r="810" ht="15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55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  <c r="AH810" s="118"/>
    </row>
    <row r="811" ht="15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55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  <c r="AH811" s="118"/>
    </row>
    <row r="812" ht="15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55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  <c r="AH812" s="118"/>
    </row>
    <row r="813" ht="15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55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  <c r="AH813" s="118"/>
    </row>
    <row r="814" ht="15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55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  <c r="AH814" s="118"/>
    </row>
    <row r="815" ht="15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55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  <c r="AH815" s="118"/>
    </row>
    <row r="816" ht="15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55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  <c r="AH816" s="118"/>
    </row>
    <row r="817" ht="15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55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  <c r="AH817" s="118"/>
    </row>
    <row r="818" ht="15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55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  <c r="AH818" s="118"/>
    </row>
    <row r="819" ht="15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55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  <c r="AH819" s="118"/>
    </row>
    <row r="820" ht="15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55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  <c r="AH820" s="118"/>
    </row>
    <row r="821" ht="15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55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  <c r="AH821" s="118"/>
    </row>
    <row r="822" ht="15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55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  <c r="AH822" s="118"/>
    </row>
    <row r="823" ht="15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55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  <c r="AH823" s="118"/>
    </row>
    <row r="824" ht="15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55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  <c r="AH824" s="118"/>
    </row>
    <row r="825" ht="15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55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  <c r="AH825" s="118"/>
    </row>
    <row r="826" ht="15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55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  <c r="AH826" s="118"/>
    </row>
    <row r="827" ht="15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55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  <c r="AH827" s="118"/>
    </row>
    <row r="828" ht="15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55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  <c r="AH828" s="118"/>
    </row>
    <row r="829" ht="15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55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  <c r="AH829" s="118"/>
    </row>
    <row r="830" ht="15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55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  <c r="AH830" s="118"/>
    </row>
    <row r="831" ht="15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55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  <c r="AH831" s="118"/>
    </row>
    <row r="832" ht="15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55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  <c r="AH832" s="118"/>
    </row>
    <row r="833" ht="15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55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  <c r="AH833" s="118"/>
    </row>
    <row r="834" ht="15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55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  <c r="AH834" s="118"/>
    </row>
    <row r="835" ht="15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55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  <c r="AH835" s="118"/>
    </row>
    <row r="836" ht="15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55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  <c r="AH836" s="118"/>
    </row>
    <row r="837" ht="15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55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  <c r="AH837" s="118"/>
    </row>
    <row r="838" ht="15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55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  <c r="AH838" s="118"/>
    </row>
    <row r="839" ht="15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55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  <c r="AH839" s="118"/>
    </row>
    <row r="840" ht="15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55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  <c r="AH840" s="118"/>
    </row>
    <row r="841" ht="15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55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  <c r="AH841" s="118"/>
    </row>
    <row r="842" ht="15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55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  <c r="AH842" s="118"/>
    </row>
    <row r="843" ht="15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55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  <c r="AH843" s="118"/>
    </row>
    <row r="844" ht="15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55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  <c r="AH844" s="118"/>
    </row>
    <row r="845" ht="15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55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  <c r="AG845" s="118"/>
      <c r="AH845" s="118"/>
    </row>
    <row r="846" ht="15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55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  <c r="AG846" s="118"/>
      <c r="AH846" s="118"/>
    </row>
    <row r="847" ht="15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55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  <c r="AG847" s="118"/>
      <c r="AH847" s="118"/>
    </row>
    <row r="848" ht="15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55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  <c r="AG848" s="118"/>
      <c r="AH848" s="118"/>
    </row>
    <row r="849" ht="15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55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  <c r="AG849" s="118"/>
      <c r="AH849" s="118"/>
    </row>
    <row r="850" ht="15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55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  <c r="AG850" s="118"/>
      <c r="AH850" s="118"/>
    </row>
    <row r="851" ht="15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55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  <c r="AG851" s="118"/>
      <c r="AH851" s="118"/>
    </row>
    <row r="852" ht="15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55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  <c r="AG852" s="118"/>
      <c r="AH852" s="118"/>
    </row>
    <row r="853" ht="15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55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  <c r="AG853" s="118"/>
      <c r="AH853" s="118"/>
    </row>
    <row r="854" ht="15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55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  <c r="AG854" s="118"/>
      <c r="AH854" s="118"/>
    </row>
    <row r="855" ht="15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55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  <c r="AG855" s="118"/>
      <c r="AH855" s="118"/>
    </row>
    <row r="856" ht="15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55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  <c r="AH856" s="118"/>
    </row>
    <row r="857" ht="15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55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  <c r="AH857" s="118"/>
    </row>
    <row r="858" ht="15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55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  <c r="AH858" s="118"/>
    </row>
    <row r="859" ht="15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55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  <c r="AH859" s="118"/>
    </row>
    <row r="860" ht="15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55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  <c r="AH860" s="118"/>
    </row>
    <row r="861" ht="15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55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  <c r="AH861" s="118"/>
    </row>
    <row r="862" ht="15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55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  <c r="AH862" s="118"/>
    </row>
    <row r="863" ht="15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55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  <c r="AH863" s="118"/>
    </row>
    <row r="864" ht="15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55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  <c r="AH864" s="118"/>
    </row>
    <row r="865" ht="15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55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  <c r="AH865" s="118"/>
    </row>
    <row r="866" ht="15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55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  <c r="AH866" s="118"/>
    </row>
    <row r="867" ht="15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55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  <c r="AH867" s="118"/>
    </row>
    <row r="868" ht="15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55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  <c r="AH868" s="118"/>
    </row>
    <row r="869" ht="15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55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  <c r="AH869" s="118"/>
    </row>
    <row r="870" ht="15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55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  <c r="AH870" s="118"/>
    </row>
    <row r="871" ht="15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55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  <c r="AH871" s="118"/>
    </row>
    <row r="872" ht="15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55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  <c r="AH872" s="118"/>
    </row>
    <row r="873" ht="15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55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  <c r="AH873" s="118"/>
    </row>
    <row r="874" ht="15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55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  <c r="AH874" s="118"/>
    </row>
    <row r="875" ht="15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55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  <c r="AH875" s="118"/>
    </row>
    <row r="876" ht="15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55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  <c r="AH876" s="118"/>
    </row>
    <row r="877" ht="15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55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  <c r="AG877" s="118"/>
      <c r="AH877" s="118"/>
    </row>
    <row r="878" ht="15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55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  <c r="AG878" s="118"/>
      <c r="AH878" s="118"/>
    </row>
    <row r="879" ht="15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55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  <c r="AG879" s="118"/>
      <c r="AH879" s="118"/>
    </row>
    <row r="880" ht="15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55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  <c r="AG880" s="118"/>
      <c r="AH880" s="118"/>
    </row>
    <row r="881" ht="15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55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  <c r="AG881" s="118"/>
      <c r="AH881" s="118"/>
    </row>
    <row r="882" ht="15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55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  <c r="AG882" s="118"/>
      <c r="AH882" s="118"/>
    </row>
    <row r="883" ht="15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55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  <c r="AG883" s="118"/>
      <c r="AH883" s="118"/>
    </row>
    <row r="884" ht="15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55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  <c r="AG884" s="118"/>
      <c r="AH884" s="118"/>
    </row>
    <row r="885" ht="15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55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  <c r="AG885" s="118"/>
      <c r="AH885" s="118"/>
    </row>
    <row r="886" ht="15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55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  <c r="AG886" s="118"/>
      <c r="AH886" s="118"/>
    </row>
    <row r="887" ht="15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55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  <c r="AH887" s="118"/>
    </row>
    <row r="888" ht="15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55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  <c r="AG888" s="118"/>
      <c r="AH888" s="118"/>
    </row>
    <row r="889" ht="15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55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  <c r="AG889" s="118"/>
      <c r="AH889" s="118"/>
    </row>
    <row r="890" ht="15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55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  <c r="AG890" s="118"/>
      <c r="AH890" s="118"/>
    </row>
    <row r="891" ht="15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55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  <c r="AG891" s="118"/>
      <c r="AH891" s="118"/>
    </row>
    <row r="892" ht="15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55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  <c r="AG892" s="118"/>
      <c r="AH892" s="118"/>
    </row>
    <row r="893" ht="15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55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  <c r="AG893" s="118"/>
      <c r="AH893" s="118"/>
    </row>
    <row r="894" ht="15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55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  <c r="AG894" s="118"/>
      <c r="AH894" s="118"/>
    </row>
    <row r="895" ht="15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55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  <c r="AG895" s="118"/>
      <c r="AH895" s="118"/>
    </row>
    <row r="896" ht="15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55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  <c r="AG896" s="118"/>
      <c r="AH896" s="118"/>
    </row>
    <row r="897" ht="15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55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  <c r="AG897" s="118"/>
      <c r="AH897" s="118"/>
    </row>
    <row r="898" ht="15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55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  <c r="AG898" s="118"/>
      <c r="AH898" s="118"/>
    </row>
    <row r="899" ht="15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55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  <c r="AG899" s="118"/>
      <c r="AH899" s="118"/>
    </row>
    <row r="900" ht="15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55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  <c r="AG900" s="118"/>
      <c r="AH900" s="118"/>
    </row>
    <row r="901" ht="15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55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  <c r="AG901" s="118"/>
      <c r="AH901" s="118"/>
    </row>
    <row r="902" ht="15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55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  <c r="AG902" s="118"/>
      <c r="AH902" s="118"/>
    </row>
    <row r="903" ht="15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55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  <c r="AG903" s="118"/>
      <c r="AH903" s="118"/>
    </row>
    <row r="904" ht="15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55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  <c r="AG904" s="118"/>
      <c r="AH904" s="118"/>
    </row>
    <row r="905" ht="15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55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  <c r="AG905" s="118"/>
      <c r="AH905" s="118"/>
    </row>
    <row r="906" ht="15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55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  <c r="AG906" s="118"/>
      <c r="AH906" s="118"/>
    </row>
    <row r="907" ht="15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55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  <c r="AG907" s="118"/>
      <c r="AH907" s="118"/>
    </row>
    <row r="908" ht="15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55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  <c r="AG908" s="118"/>
      <c r="AH908" s="118"/>
    </row>
    <row r="909" ht="15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55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  <c r="AG909" s="118"/>
      <c r="AH909" s="118"/>
    </row>
    <row r="910" ht="15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55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  <c r="AG910" s="118"/>
      <c r="AH910" s="118"/>
    </row>
    <row r="911" ht="15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55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  <c r="AG911" s="118"/>
      <c r="AH911" s="118"/>
    </row>
    <row r="912" ht="15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55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  <c r="AG912" s="118"/>
      <c r="AH912" s="118"/>
    </row>
    <row r="913" ht="15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55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  <c r="AG913" s="118"/>
      <c r="AH913" s="118"/>
    </row>
    <row r="914" ht="15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55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  <c r="AG914" s="118"/>
      <c r="AH914" s="118"/>
    </row>
    <row r="915" ht="15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55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  <c r="AG915" s="118"/>
      <c r="AH915" s="118"/>
    </row>
    <row r="916" ht="15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55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  <c r="AG916" s="118"/>
      <c r="AH916" s="118"/>
    </row>
    <row r="917" ht="15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55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  <c r="AG917" s="118"/>
      <c r="AH917" s="118"/>
    </row>
    <row r="918" ht="15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55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  <c r="AG918" s="118"/>
      <c r="AH918" s="118"/>
    </row>
    <row r="919" ht="15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55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  <c r="AG919" s="118"/>
      <c r="AH919" s="118"/>
    </row>
    <row r="920" ht="15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55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  <c r="AG920" s="118"/>
      <c r="AH920" s="118"/>
    </row>
    <row r="921" ht="15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55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  <c r="AG921" s="118"/>
      <c r="AH921" s="118"/>
    </row>
    <row r="922" ht="15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55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  <c r="AG922" s="118"/>
      <c r="AH922" s="118"/>
    </row>
    <row r="923" ht="15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55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  <c r="AG923" s="118"/>
      <c r="AH923" s="118"/>
    </row>
    <row r="924" ht="15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55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  <c r="AG924" s="118"/>
      <c r="AH924" s="118"/>
    </row>
    <row r="925" ht="15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55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  <c r="AG925" s="118"/>
      <c r="AH925" s="118"/>
    </row>
    <row r="926" ht="15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55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  <c r="AG926" s="118"/>
      <c r="AH926" s="118"/>
    </row>
    <row r="927" ht="15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55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  <c r="AG927" s="118"/>
      <c r="AH927" s="118"/>
    </row>
    <row r="928" ht="15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55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  <c r="AF928" s="118"/>
      <c r="AG928" s="118"/>
      <c r="AH928" s="118"/>
    </row>
    <row r="929" ht="15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55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  <c r="AF929" s="118"/>
      <c r="AG929" s="118"/>
      <c r="AH929" s="118"/>
    </row>
    <row r="930" ht="15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55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  <c r="AF930" s="118"/>
      <c r="AG930" s="118"/>
      <c r="AH930" s="118"/>
    </row>
    <row r="931" ht="15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55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  <c r="AF931" s="118"/>
      <c r="AG931" s="118"/>
      <c r="AH931" s="118"/>
    </row>
    <row r="932" ht="15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55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  <c r="AF932" s="118"/>
      <c r="AG932" s="118"/>
      <c r="AH932" s="118"/>
    </row>
    <row r="933" ht="15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55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  <c r="AF933" s="118"/>
      <c r="AG933" s="118"/>
      <c r="AH933" s="118"/>
    </row>
    <row r="934" ht="15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55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  <c r="AF934" s="118"/>
      <c r="AG934" s="118"/>
      <c r="AH934" s="118"/>
    </row>
    <row r="935" ht="15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55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  <c r="AF935" s="118"/>
      <c r="AG935" s="118"/>
      <c r="AH935" s="118"/>
    </row>
    <row r="936" ht="15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55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  <c r="AF936" s="118"/>
      <c r="AG936" s="118"/>
      <c r="AH936" s="118"/>
    </row>
    <row r="937" ht="15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55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  <c r="AF937" s="118"/>
      <c r="AG937" s="118"/>
      <c r="AH937" s="118"/>
    </row>
    <row r="938" ht="15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55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  <c r="AF938" s="118"/>
      <c r="AG938" s="118"/>
      <c r="AH938" s="118"/>
    </row>
    <row r="939" ht="15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55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  <c r="AF939" s="118"/>
      <c r="AG939" s="118"/>
      <c r="AH939" s="118"/>
    </row>
    <row r="940" ht="15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55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  <c r="AF940" s="118"/>
      <c r="AG940" s="118"/>
      <c r="AH940" s="118"/>
    </row>
    <row r="941" ht="15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55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  <c r="AF941" s="118"/>
      <c r="AG941" s="118"/>
      <c r="AH941" s="118"/>
    </row>
    <row r="942" ht="15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55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  <c r="AF942" s="118"/>
      <c r="AG942" s="118"/>
      <c r="AH942" s="118"/>
    </row>
    <row r="943" ht="15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55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  <c r="AF943" s="118"/>
      <c r="AG943" s="118"/>
      <c r="AH943" s="118"/>
    </row>
    <row r="944" ht="15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55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  <c r="AG944" s="118"/>
      <c r="AH944" s="118"/>
    </row>
    <row r="945" ht="15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55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  <c r="AG945" s="118"/>
      <c r="AH945" s="118"/>
    </row>
    <row r="946" ht="15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55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  <c r="AG946" s="118"/>
      <c r="AH946" s="118"/>
    </row>
    <row r="947" ht="15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55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  <c r="AG947" s="118"/>
      <c r="AH947" s="118"/>
    </row>
    <row r="948" ht="15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55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  <c r="AG948" s="118"/>
      <c r="AH948" s="118"/>
    </row>
    <row r="949" ht="15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55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  <c r="AG949" s="118"/>
      <c r="AH949" s="118"/>
    </row>
    <row r="950" ht="15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55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  <c r="AG950" s="118"/>
      <c r="AH950" s="118"/>
    </row>
    <row r="951" ht="15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55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  <c r="AG951" s="118"/>
      <c r="AH951" s="118"/>
    </row>
    <row r="952" ht="15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55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  <c r="AG952" s="118"/>
      <c r="AH952" s="118"/>
    </row>
    <row r="953" ht="15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55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  <c r="AG953" s="118"/>
      <c r="AH953" s="118"/>
    </row>
    <row r="954" ht="15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55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  <c r="AG954" s="118"/>
      <c r="AH954" s="118"/>
    </row>
    <row r="955" ht="15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55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  <c r="AG955" s="118"/>
      <c r="AH955" s="118"/>
    </row>
    <row r="956" ht="15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55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  <c r="AG956" s="118"/>
      <c r="AH956" s="118"/>
    </row>
    <row r="957" ht="15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55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  <c r="AG957" s="118"/>
      <c r="AH957" s="118"/>
    </row>
    <row r="958" ht="15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55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  <c r="AG958" s="118"/>
      <c r="AH958" s="118"/>
    </row>
    <row r="959" ht="15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55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  <c r="AG959" s="118"/>
      <c r="AH959" s="118"/>
    </row>
    <row r="960" ht="15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55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  <c r="AG960" s="118"/>
      <c r="AH960" s="118"/>
    </row>
    <row r="961" ht="15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55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  <c r="AG961" s="118"/>
      <c r="AH961" s="118"/>
    </row>
    <row r="962" ht="15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55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  <c r="AG962" s="118"/>
      <c r="AH962" s="118"/>
    </row>
    <row r="963" ht="15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55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  <c r="AG963" s="118"/>
      <c r="AH963" s="118"/>
    </row>
    <row r="964" ht="15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55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  <c r="AG964" s="118"/>
      <c r="AH964" s="118"/>
    </row>
    <row r="965" ht="15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55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  <c r="AG965" s="118"/>
      <c r="AH965" s="118"/>
    </row>
    <row r="966" ht="15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55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  <c r="AG966" s="118"/>
      <c r="AH966" s="118"/>
    </row>
    <row r="967" ht="15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55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  <c r="AG967" s="118"/>
      <c r="AH967" s="118"/>
    </row>
    <row r="968" ht="15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55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  <c r="AG968" s="118"/>
      <c r="AH968" s="118"/>
    </row>
    <row r="969" ht="15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55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  <c r="AG969" s="118"/>
      <c r="AH969" s="118"/>
    </row>
    <row r="970" ht="15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55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  <c r="AG970" s="118"/>
      <c r="AH970" s="118"/>
    </row>
    <row r="971" ht="15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55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  <c r="AG971" s="118"/>
      <c r="AH971" s="118"/>
    </row>
    <row r="972" ht="15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55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  <c r="AG972" s="118"/>
      <c r="AH972" s="118"/>
    </row>
    <row r="973" ht="15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55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  <c r="AG973" s="118"/>
      <c r="AH973" s="118"/>
    </row>
    <row r="974" ht="15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55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  <c r="AG974" s="118"/>
      <c r="AH974" s="118"/>
    </row>
    <row r="975" ht="15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55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  <c r="AG975" s="118"/>
      <c r="AH975" s="118"/>
    </row>
    <row r="976" ht="15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55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  <c r="AG976" s="118"/>
      <c r="AH976" s="118"/>
    </row>
    <row r="977" ht="15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55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  <c r="AG977" s="118"/>
      <c r="AH977" s="118"/>
    </row>
    <row r="978" ht="15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55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  <c r="AG978" s="118"/>
      <c r="AH978" s="118"/>
    </row>
    <row r="979" ht="15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55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  <c r="AG979" s="118"/>
      <c r="AH979" s="118"/>
    </row>
    <row r="980" ht="15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55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  <c r="AG980" s="118"/>
      <c r="AH980" s="118"/>
    </row>
    <row r="981" ht="15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55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  <c r="AG981" s="118"/>
      <c r="AH981" s="118"/>
    </row>
    <row r="982" ht="15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55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  <c r="AG982" s="118"/>
      <c r="AH982" s="118"/>
    </row>
    <row r="983" ht="15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55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  <c r="AG983" s="118"/>
      <c r="AH983" s="118"/>
    </row>
    <row r="984" ht="15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55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  <c r="AG984" s="118"/>
      <c r="AH984" s="118"/>
    </row>
    <row r="985" ht="15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55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  <c r="AG985" s="118"/>
      <c r="AH985" s="118"/>
    </row>
    <row r="986" ht="15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55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  <c r="AG986" s="118"/>
      <c r="AH986" s="118"/>
    </row>
    <row r="987" ht="15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55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  <c r="AG987" s="118"/>
      <c r="AH987" s="118"/>
    </row>
    <row r="988" ht="15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55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  <c r="AG988" s="118"/>
      <c r="AH988" s="118"/>
    </row>
    <row r="989" ht="15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55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  <c r="AF989" s="118"/>
      <c r="AG989" s="118"/>
      <c r="AH989" s="118"/>
    </row>
    <row r="990" ht="15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55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  <c r="AG990" s="118"/>
      <c r="AH990" s="118"/>
    </row>
    <row r="991" ht="15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55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  <c r="AF991" s="118"/>
      <c r="AG991" s="118"/>
      <c r="AH991" s="118"/>
    </row>
    <row r="992" ht="15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55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  <c r="AF992" s="118"/>
      <c r="AG992" s="118"/>
      <c r="AH992" s="118"/>
    </row>
    <row r="993" ht="15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55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  <c r="AF993" s="118"/>
      <c r="AG993" s="118"/>
      <c r="AH993" s="118"/>
    </row>
    <row r="994" ht="15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55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  <c r="AF994" s="118"/>
      <c r="AG994" s="118"/>
      <c r="AH994" s="118"/>
    </row>
    <row r="995" ht="15.7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55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  <c r="AF995" s="118"/>
      <c r="AG995" s="118"/>
      <c r="AH995" s="118"/>
    </row>
    <row r="996" ht="15.7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55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  <c r="AF996" s="118"/>
      <c r="AG996" s="118"/>
      <c r="AH996" s="118"/>
    </row>
    <row r="997" ht="15.7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55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  <c r="AF997" s="118"/>
      <c r="AG997" s="118"/>
      <c r="AH997" s="118"/>
    </row>
    <row r="998" ht="15.7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55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  <c r="AF998" s="118"/>
      <c r="AG998" s="118"/>
      <c r="AH998" s="118"/>
    </row>
    <row r="999" ht="15.75" customHeight="1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55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  <c r="AE999" s="118"/>
      <c r="AF999" s="118"/>
      <c r="AG999" s="118"/>
      <c r="AH999" s="118"/>
    </row>
    <row r="1000" ht="15.75" customHeight="1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55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18"/>
      <c r="AC1000" s="118"/>
      <c r="AD1000" s="118"/>
      <c r="AE1000" s="118"/>
      <c r="AF1000" s="118"/>
      <c r="AG1000" s="118"/>
      <c r="AH1000" s="118"/>
    </row>
    <row r="1001" ht="15.75" customHeight="1">
      <c r="A1001" s="118"/>
      <c r="B1001" s="118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55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  <c r="AA1001" s="118"/>
      <c r="AB1001" s="118"/>
      <c r="AC1001" s="118"/>
      <c r="AD1001" s="118"/>
      <c r="AE1001" s="118"/>
      <c r="AF1001" s="118"/>
      <c r="AG1001" s="118"/>
      <c r="AH1001" s="118"/>
    </row>
    <row r="1002" ht="15.75" customHeight="1">
      <c r="A1002" s="118"/>
      <c r="B1002" s="118"/>
      <c r="C1002" s="118"/>
      <c r="D1002" s="118"/>
      <c r="E1002" s="118"/>
      <c r="F1002" s="118"/>
      <c r="G1002" s="118"/>
      <c r="H1002" s="118"/>
      <c r="I1002" s="118"/>
      <c r="J1002" s="118"/>
      <c r="K1002" s="118"/>
      <c r="L1002" s="118"/>
      <c r="M1002" s="118"/>
      <c r="N1002" s="155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  <c r="AA1002" s="118"/>
      <c r="AB1002" s="118"/>
      <c r="AC1002" s="118"/>
      <c r="AD1002" s="118"/>
      <c r="AE1002" s="118"/>
      <c r="AF1002" s="118"/>
      <c r="AG1002" s="118"/>
      <c r="AH1002" s="118"/>
    </row>
    <row r="1003" ht="15.75" customHeight="1">
      <c r="A1003" s="118"/>
      <c r="B1003" s="118"/>
      <c r="C1003" s="118"/>
      <c r="D1003" s="118"/>
      <c r="E1003" s="118"/>
      <c r="F1003" s="118"/>
      <c r="G1003" s="118"/>
      <c r="H1003" s="118"/>
      <c r="I1003" s="118"/>
      <c r="J1003" s="118"/>
      <c r="K1003" s="118"/>
      <c r="L1003" s="118"/>
      <c r="M1003" s="118"/>
      <c r="N1003" s="155"/>
      <c r="O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  <c r="Y1003" s="118"/>
      <c r="Z1003" s="118"/>
      <c r="AA1003" s="118"/>
      <c r="AB1003" s="118"/>
      <c r="AC1003" s="118"/>
      <c r="AD1003" s="118"/>
      <c r="AE1003" s="118"/>
      <c r="AF1003" s="118"/>
      <c r="AG1003" s="118"/>
      <c r="AH1003" s="118"/>
    </row>
    <row r="1004" ht="15.75" customHeight="1">
      <c r="A1004" s="118"/>
      <c r="B1004" s="118"/>
      <c r="C1004" s="118"/>
      <c r="D1004" s="118"/>
      <c r="E1004" s="118"/>
      <c r="F1004" s="118"/>
      <c r="G1004" s="118"/>
      <c r="H1004" s="118"/>
      <c r="I1004" s="118"/>
      <c r="J1004" s="118"/>
      <c r="K1004" s="118"/>
      <c r="L1004" s="118"/>
      <c r="M1004" s="118"/>
      <c r="N1004" s="155"/>
      <c r="O1004" s="118"/>
      <c r="P1004" s="118"/>
      <c r="Q1004" s="118"/>
      <c r="R1004" s="118"/>
      <c r="S1004" s="118"/>
      <c r="T1004" s="118"/>
      <c r="U1004" s="118"/>
      <c r="V1004" s="118"/>
      <c r="W1004" s="118"/>
      <c r="X1004" s="118"/>
      <c r="Y1004" s="118"/>
      <c r="Z1004" s="118"/>
      <c r="AA1004" s="118"/>
      <c r="AB1004" s="118"/>
      <c r="AC1004" s="118"/>
      <c r="AD1004" s="118"/>
      <c r="AE1004" s="118"/>
      <c r="AF1004" s="118"/>
      <c r="AG1004" s="118"/>
      <c r="AH1004" s="118"/>
    </row>
    <row r="1005" ht="15.75" customHeight="1">
      <c r="A1005" s="118"/>
      <c r="B1005" s="118"/>
      <c r="C1005" s="118"/>
      <c r="D1005" s="118"/>
      <c r="E1005" s="118"/>
      <c r="F1005" s="118"/>
      <c r="G1005" s="118"/>
      <c r="H1005" s="118"/>
      <c r="I1005" s="118"/>
      <c r="J1005" s="118"/>
      <c r="K1005" s="118"/>
      <c r="L1005" s="118"/>
      <c r="M1005" s="118"/>
      <c r="N1005" s="155"/>
      <c r="O1005" s="118"/>
      <c r="P1005" s="118"/>
      <c r="Q1005" s="118"/>
      <c r="R1005" s="118"/>
      <c r="S1005" s="118"/>
      <c r="T1005" s="118"/>
      <c r="U1005" s="118"/>
      <c r="V1005" s="118"/>
      <c r="W1005" s="118"/>
      <c r="X1005" s="118"/>
      <c r="Y1005" s="118"/>
      <c r="Z1005" s="118"/>
      <c r="AA1005" s="118"/>
      <c r="AB1005" s="118"/>
      <c r="AC1005" s="118"/>
      <c r="AD1005" s="118"/>
      <c r="AE1005" s="118"/>
      <c r="AF1005" s="118"/>
      <c r="AG1005" s="118"/>
      <c r="AH1005" s="118"/>
    </row>
    <row r="1006" ht="15.75" customHeight="1">
      <c r="A1006" s="118"/>
      <c r="B1006" s="118"/>
      <c r="C1006" s="118"/>
      <c r="D1006" s="118"/>
      <c r="E1006" s="118"/>
      <c r="F1006" s="118"/>
      <c r="G1006" s="118"/>
      <c r="H1006" s="118"/>
      <c r="I1006" s="118"/>
      <c r="J1006" s="118"/>
      <c r="K1006" s="118"/>
      <c r="L1006" s="118"/>
      <c r="M1006" s="118"/>
      <c r="N1006" s="155"/>
      <c r="O1006" s="118"/>
      <c r="P1006" s="118"/>
      <c r="Q1006" s="118"/>
      <c r="R1006" s="118"/>
      <c r="S1006" s="118"/>
      <c r="T1006" s="118"/>
      <c r="U1006" s="118"/>
      <c r="V1006" s="118"/>
      <c r="W1006" s="118"/>
      <c r="X1006" s="118"/>
      <c r="Y1006" s="118"/>
      <c r="Z1006" s="118"/>
      <c r="AA1006" s="118"/>
      <c r="AB1006" s="118"/>
      <c r="AC1006" s="118"/>
      <c r="AD1006" s="118"/>
      <c r="AE1006" s="118"/>
      <c r="AF1006" s="118"/>
      <c r="AG1006" s="118"/>
      <c r="AH1006" s="118"/>
    </row>
  </sheetData>
  <mergeCells count="24">
    <mergeCell ref="B1:J1"/>
    <mergeCell ref="K1:M1"/>
    <mergeCell ref="S2:T2"/>
    <mergeCell ref="S3:T3"/>
    <mergeCell ref="S4:T4"/>
    <mergeCell ref="S5:T5"/>
    <mergeCell ref="S6:T6"/>
    <mergeCell ref="S7:T7"/>
    <mergeCell ref="S8:T8"/>
    <mergeCell ref="S10:T10"/>
    <mergeCell ref="S11:T11"/>
    <mergeCell ref="S12:T12"/>
    <mergeCell ref="S13:T13"/>
    <mergeCell ref="S14:T14"/>
    <mergeCell ref="S24:T24"/>
    <mergeCell ref="S25:T25"/>
    <mergeCell ref="R30:T30"/>
    <mergeCell ref="S15:T15"/>
    <mergeCell ref="S16:T16"/>
    <mergeCell ref="S17:T17"/>
    <mergeCell ref="S18:T18"/>
    <mergeCell ref="R21:T21"/>
    <mergeCell ref="S22:T22"/>
    <mergeCell ref="S23:T2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1.14"/>
    <col customWidth="1" min="2" max="2" width="14.57"/>
    <col customWidth="1" min="3" max="4" width="21.57"/>
    <col customWidth="1" min="5" max="5" width="13.29"/>
    <col customWidth="1" min="6" max="6" width="7.43"/>
    <col customWidth="1" min="7" max="7" width="13.29"/>
    <col customWidth="1" min="8" max="8" width="13.57"/>
    <col customWidth="1" min="9" max="9" width="5.86"/>
    <col customWidth="1" min="10" max="10" width="13.14"/>
    <col customWidth="1" min="11" max="11" width="7.71"/>
    <col customWidth="1" min="12" max="12" width="7.29"/>
    <col customWidth="1" min="13" max="14" width="9.0"/>
    <col customWidth="1" min="15" max="15" width="6.57"/>
    <col customWidth="1" min="16" max="16" width="13.29"/>
    <col customWidth="1" min="17" max="17" width="15.57"/>
    <col customWidth="1" min="18" max="18" width="8.86"/>
    <col customWidth="1" min="19" max="19" width="11.14"/>
    <col customWidth="1" min="20" max="33" width="8.86"/>
  </cols>
  <sheetData>
    <row r="1" ht="40.5" customHeight="1">
      <c r="A1" s="119"/>
      <c r="B1" s="432"/>
      <c r="C1" s="432"/>
      <c r="D1" s="158" t="s">
        <v>918</v>
      </c>
      <c r="E1" s="3"/>
      <c r="F1" s="3"/>
      <c r="G1" s="3"/>
      <c r="H1" s="3"/>
      <c r="I1" s="3"/>
      <c r="J1" s="4"/>
      <c r="K1" s="5" t="s">
        <v>1</v>
      </c>
      <c r="L1" s="3"/>
      <c r="M1" s="4"/>
      <c r="N1" s="311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</row>
    <row r="2" ht="39.0" customHeight="1">
      <c r="A2" s="8" t="s">
        <v>2</v>
      </c>
      <c r="B2" s="433" t="s">
        <v>3</v>
      </c>
      <c r="C2" s="12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3" t="s">
        <v>12</v>
      </c>
      <c r="L2" s="13" t="s">
        <v>13</v>
      </c>
      <c r="M2" s="159" t="s">
        <v>14</v>
      </c>
      <c r="N2" s="333" t="s">
        <v>15</v>
      </c>
      <c r="O2" s="434" t="s">
        <v>312</v>
      </c>
      <c r="P2" s="118"/>
      <c r="Q2" s="123" t="s">
        <v>17</v>
      </c>
      <c r="R2" s="124" t="s">
        <v>18</v>
      </c>
      <c r="S2" s="53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</row>
    <row r="3" outlineLevel="1">
      <c r="A3" s="19" t="b">
        <v>0</v>
      </c>
      <c r="B3" s="126" t="s">
        <v>919</v>
      </c>
      <c r="C3" s="126" t="s">
        <v>82</v>
      </c>
      <c r="D3" s="125" t="s">
        <v>21</v>
      </c>
      <c r="E3" s="125">
        <v>3.0</v>
      </c>
      <c r="F3" s="125">
        <v>2.0</v>
      </c>
      <c r="G3" s="125" t="s">
        <v>70</v>
      </c>
      <c r="H3" s="125" t="s">
        <v>23</v>
      </c>
      <c r="I3" s="125" t="s">
        <v>23</v>
      </c>
      <c r="J3" s="402">
        <v>46014.0</v>
      </c>
      <c r="K3" s="19" t="b">
        <v>1</v>
      </c>
      <c r="L3" s="19" t="b">
        <v>1</v>
      </c>
      <c r="M3" s="19" t="b">
        <v>1</v>
      </c>
      <c r="N3" s="19" t="b">
        <v>1</v>
      </c>
      <c r="O3" s="435" t="b">
        <v>1</v>
      </c>
      <c r="P3" s="118"/>
      <c r="Q3" s="125" t="s">
        <v>27</v>
      </c>
      <c r="R3" s="127" t="s">
        <v>28</v>
      </c>
      <c r="S3" s="33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</row>
    <row r="4" ht="30.0" customHeight="1" outlineLevel="1">
      <c r="A4" s="19" t="b">
        <v>0</v>
      </c>
      <c r="B4" s="35" t="s">
        <v>920</v>
      </c>
      <c r="C4" s="35" t="s">
        <v>20</v>
      </c>
      <c r="D4" s="34" t="s">
        <v>21</v>
      </c>
      <c r="E4" s="34">
        <v>1.0</v>
      </c>
      <c r="F4" s="34">
        <v>1.0</v>
      </c>
      <c r="G4" s="34" t="s">
        <v>34</v>
      </c>
      <c r="H4" s="34" t="s">
        <v>23</v>
      </c>
      <c r="I4" s="34" t="s">
        <v>23</v>
      </c>
      <c r="J4" s="436">
        <v>45988.0</v>
      </c>
      <c r="K4" s="19" t="b">
        <v>1</v>
      </c>
      <c r="L4" s="19" t="b">
        <v>1</v>
      </c>
      <c r="M4" s="19" t="b">
        <v>1</v>
      </c>
      <c r="N4" s="202" t="b">
        <v>1</v>
      </c>
      <c r="O4" s="19" t="b">
        <v>1</v>
      </c>
      <c r="P4" s="130"/>
      <c r="Q4" s="34" t="s">
        <v>128</v>
      </c>
      <c r="R4" s="129" t="s">
        <v>141</v>
      </c>
      <c r="S4" s="39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</row>
    <row r="5" outlineLevel="1">
      <c r="A5" s="19" t="b">
        <v>0</v>
      </c>
      <c r="B5" s="35" t="s">
        <v>29</v>
      </c>
      <c r="C5" s="35" t="s">
        <v>20</v>
      </c>
      <c r="D5" s="35" t="s">
        <v>43</v>
      </c>
      <c r="E5" s="35">
        <v>1.5</v>
      </c>
      <c r="F5" s="35">
        <v>1.0</v>
      </c>
      <c r="G5" s="35" t="s">
        <v>42</v>
      </c>
      <c r="H5" s="34" t="s">
        <v>31</v>
      </c>
      <c r="I5" s="34" t="s">
        <v>31</v>
      </c>
      <c r="J5" s="128">
        <v>45995.0</v>
      </c>
      <c r="K5" s="19" t="b">
        <v>1</v>
      </c>
      <c r="L5" s="19" t="b">
        <v>1</v>
      </c>
      <c r="M5" s="19" t="b">
        <v>1</v>
      </c>
      <c r="N5" s="19" t="b">
        <v>1</v>
      </c>
      <c r="O5" s="222" t="b">
        <v>0</v>
      </c>
      <c r="P5" s="118"/>
      <c r="Q5" s="34" t="s">
        <v>34</v>
      </c>
      <c r="R5" s="129" t="s">
        <v>35</v>
      </c>
      <c r="S5" s="39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</row>
    <row r="6" outlineLevel="1">
      <c r="A6" s="19" t="b">
        <v>0</v>
      </c>
      <c r="B6" s="35" t="s">
        <v>921</v>
      </c>
      <c r="C6" s="35" t="s">
        <v>26</v>
      </c>
      <c r="D6" s="34" t="s">
        <v>21</v>
      </c>
      <c r="E6" s="34">
        <v>1.0</v>
      </c>
      <c r="F6" s="34">
        <v>1.0</v>
      </c>
      <c r="G6" s="34" t="s">
        <v>22</v>
      </c>
      <c r="H6" s="34" t="s">
        <v>23</v>
      </c>
      <c r="I6" s="34" t="s">
        <v>23</v>
      </c>
      <c r="J6" s="416">
        <v>46000.0</v>
      </c>
      <c r="K6" s="19" t="b">
        <v>1</v>
      </c>
      <c r="L6" s="19" t="b">
        <v>1</v>
      </c>
      <c r="M6" s="19" t="b">
        <v>1</v>
      </c>
      <c r="N6" s="19" t="b">
        <v>1</v>
      </c>
      <c r="O6" s="19" t="b">
        <v>1</v>
      </c>
      <c r="P6" s="118"/>
      <c r="Q6" s="34" t="s">
        <v>39</v>
      </c>
      <c r="R6" s="129" t="s">
        <v>40</v>
      </c>
      <c r="S6" s="39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</row>
    <row r="7" outlineLevel="1">
      <c r="J7" s="437"/>
      <c r="P7" s="118"/>
      <c r="Q7" s="34" t="s">
        <v>42</v>
      </c>
      <c r="R7" s="129" t="s">
        <v>43</v>
      </c>
      <c r="S7" s="39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</row>
    <row r="8" outlineLevel="1">
      <c r="A8" s="19" t="b">
        <v>0</v>
      </c>
      <c r="B8" s="35" t="s">
        <v>922</v>
      </c>
      <c r="C8" s="35" t="s">
        <v>20</v>
      </c>
      <c r="D8" s="34" t="s">
        <v>21</v>
      </c>
      <c r="E8" s="34">
        <v>2.5</v>
      </c>
      <c r="F8" s="34">
        <v>2.0</v>
      </c>
      <c r="G8" s="34" t="s">
        <v>70</v>
      </c>
      <c r="H8" s="34" t="s">
        <v>23</v>
      </c>
      <c r="I8" s="34" t="s">
        <v>23</v>
      </c>
      <c r="J8" s="128">
        <v>46022.0</v>
      </c>
      <c r="K8" s="19" t="b">
        <v>1</v>
      </c>
      <c r="L8" s="19" t="b">
        <v>1</v>
      </c>
      <c r="M8" s="19" t="b">
        <v>1</v>
      </c>
      <c r="N8" s="19" t="b">
        <v>1</v>
      </c>
      <c r="O8" s="19" t="b">
        <v>1</v>
      </c>
      <c r="P8" s="130"/>
      <c r="Q8" s="50" t="s">
        <v>47</v>
      </c>
      <c r="R8" s="51" t="s">
        <v>48</v>
      </c>
      <c r="S8" s="39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</row>
    <row r="9" outlineLevel="1">
      <c r="A9" s="19" t="b">
        <v>0</v>
      </c>
      <c r="B9" s="35" t="s">
        <v>401</v>
      </c>
      <c r="C9" s="35" t="s">
        <v>20</v>
      </c>
      <c r="D9" s="34" t="s">
        <v>716</v>
      </c>
      <c r="E9" s="34">
        <v>3.5</v>
      </c>
      <c r="F9" s="34">
        <v>2.0</v>
      </c>
      <c r="G9" s="34" t="s">
        <v>58</v>
      </c>
      <c r="H9" s="34" t="s">
        <v>23</v>
      </c>
      <c r="I9" s="34" t="s">
        <v>31</v>
      </c>
      <c r="J9" s="128">
        <v>46041.0</v>
      </c>
      <c r="K9" s="19" t="b">
        <v>1</v>
      </c>
      <c r="L9" s="19" t="b">
        <v>1</v>
      </c>
      <c r="M9" s="19" t="b">
        <v>1</v>
      </c>
      <c r="N9" s="19" t="b">
        <v>1</v>
      </c>
      <c r="O9" s="19" t="b">
        <v>1</v>
      </c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</row>
    <row r="10" outlineLevel="1">
      <c r="A10" s="19" t="b">
        <v>1</v>
      </c>
      <c r="B10" s="34" t="s">
        <v>609</v>
      </c>
      <c r="C10" s="35" t="s">
        <v>195</v>
      </c>
      <c r="D10" s="34" t="s">
        <v>21</v>
      </c>
      <c r="E10" s="34">
        <v>5.0</v>
      </c>
      <c r="F10" s="34">
        <v>2.0</v>
      </c>
      <c r="G10" s="35" t="s">
        <v>45</v>
      </c>
      <c r="H10" s="34" t="s">
        <v>23</v>
      </c>
      <c r="I10" s="34" t="s">
        <v>23</v>
      </c>
      <c r="J10" s="438">
        <v>46014.0</v>
      </c>
      <c r="K10" s="19" t="b">
        <v>1</v>
      </c>
      <c r="L10" s="19" t="b">
        <v>1</v>
      </c>
      <c r="M10" s="19" t="b">
        <v>1</v>
      </c>
      <c r="N10" s="19" t="b">
        <v>1</v>
      </c>
      <c r="O10" s="19" t="b">
        <v>1</v>
      </c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</row>
    <row r="11" outlineLevel="1">
      <c r="A11" s="19" t="b">
        <v>0</v>
      </c>
      <c r="B11" s="439" t="s">
        <v>234</v>
      </c>
      <c r="C11" s="28" t="s">
        <v>20</v>
      </c>
      <c r="D11" s="27" t="s">
        <v>21</v>
      </c>
      <c r="E11" s="27">
        <v>2.5</v>
      </c>
      <c r="F11" s="29">
        <v>2.0</v>
      </c>
      <c r="G11" s="30" t="s">
        <v>70</v>
      </c>
      <c r="H11" s="29" t="s">
        <v>23</v>
      </c>
      <c r="I11" s="29" t="s">
        <v>31</v>
      </c>
      <c r="J11" s="166" t="s">
        <v>923</v>
      </c>
      <c r="K11" s="19" t="b">
        <v>1</v>
      </c>
      <c r="L11" s="19" t="b">
        <v>1</v>
      </c>
      <c r="M11" s="19" t="b">
        <v>1</v>
      </c>
      <c r="N11" s="19" t="b">
        <v>1</v>
      </c>
      <c r="O11" s="19" t="b">
        <v>1</v>
      </c>
      <c r="P11" s="440"/>
      <c r="Q11" s="441" t="s">
        <v>924</v>
      </c>
      <c r="R11" s="442"/>
      <c r="S11" s="442"/>
      <c r="T11" s="442"/>
      <c r="U11" s="442"/>
      <c r="V11" s="427"/>
      <c r="W11" s="427"/>
      <c r="X11" s="427"/>
      <c r="Y11" s="427"/>
      <c r="Z11" s="427"/>
      <c r="AA11" s="427"/>
      <c r="AB11" s="427"/>
    </row>
    <row r="12" ht="15.75" customHeight="1" outlineLevel="1">
      <c r="A12" s="19" t="b">
        <v>0</v>
      </c>
      <c r="B12" s="35"/>
      <c r="C12" s="35"/>
      <c r="D12" s="35"/>
      <c r="E12" s="35"/>
      <c r="F12" s="35"/>
      <c r="G12" s="35"/>
      <c r="H12" s="35"/>
      <c r="I12" s="35"/>
      <c r="J12" s="105"/>
      <c r="K12" s="19" t="b">
        <v>0</v>
      </c>
      <c r="L12" s="19" t="b">
        <v>0</v>
      </c>
      <c r="M12" s="19" t="b">
        <v>0</v>
      </c>
      <c r="N12" s="19" t="b">
        <v>0</v>
      </c>
      <c r="O12" s="19" t="b">
        <v>0</v>
      </c>
      <c r="P12" s="118"/>
      <c r="Q12" s="132"/>
      <c r="R12" s="132"/>
      <c r="S12" s="132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</row>
    <row r="13" ht="15.75" customHeight="1" outlineLevel="1">
      <c r="A13" s="19" t="b">
        <v>0</v>
      </c>
      <c r="B13" s="86" t="s">
        <v>307</v>
      </c>
      <c r="C13" s="86" t="s">
        <v>20</v>
      </c>
      <c r="D13" s="140" t="s">
        <v>156</v>
      </c>
      <c r="E13" s="140">
        <v>1.0</v>
      </c>
      <c r="F13" s="140">
        <v>1.0</v>
      </c>
      <c r="G13" s="140" t="s">
        <v>27</v>
      </c>
      <c r="H13" s="140" t="s">
        <v>31</v>
      </c>
      <c r="I13" s="140" t="s">
        <v>31</v>
      </c>
      <c r="J13" s="145" t="s">
        <v>925</v>
      </c>
      <c r="K13" s="19" t="b">
        <v>0</v>
      </c>
      <c r="L13" s="19" t="b">
        <v>0</v>
      </c>
      <c r="M13" s="19" t="b">
        <v>0</v>
      </c>
      <c r="N13" s="19" t="b">
        <v>0</v>
      </c>
      <c r="O13" s="19" t="b">
        <v>0</v>
      </c>
      <c r="P13" s="118"/>
      <c r="Q13" s="16" t="s">
        <v>154</v>
      </c>
      <c r="R13" s="17" t="s">
        <v>52</v>
      </c>
      <c r="S13" s="53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</row>
    <row r="14" outlineLevel="1">
      <c r="A14" s="19" t="b">
        <v>0</v>
      </c>
      <c r="B14" s="35" t="s">
        <v>157</v>
      </c>
      <c r="C14" s="35" t="s">
        <v>20</v>
      </c>
      <c r="D14" s="34" t="s">
        <v>156</v>
      </c>
      <c r="E14" s="34">
        <v>1.0</v>
      </c>
      <c r="F14" s="34">
        <v>1.0</v>
      </c>
      <c r="G14" s="34" t="s">
        <v>27</v>
      </c>
      <c r="H14" s="34" t="s">
        <v>31</v>
      </c>
      <c r="I14" s="34" t="s">
        <v>31</v>
      </c>
      <c r="J14" s="131">
        <v>46028.0</v>
      </c>
      <c r="K14" s="19" t="b">
        <v>1</v>
      </c>
      <c r="L14" s="19" t="b">
        <v>0</v>
      </c>
      <c r="M14" s="19" t="b">
        <v>0</v>
      </c>
      <c r="N14" s="19" t="b">
        <v>0</v>
      </c>
      <c r="O14" s="19" t="b">
        <v>0</v>
      </c>
      <c r="P14" s="118"/>
      <c r="Q14" s="60" t="s">
        <v>57</v>
      </c>
      <c r="R14" s="61" t="s">
        <v>58</v>
      </c>
      <c r="S14" s="33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</row>
    <row r="15" ht="15.0" customHeight="1" outlineLevel="1">
      <c r="A15" s="106" t="b">
        <v>0</v>
      </c>
      <c r="B15" s="86" t="s">
        <v>413</v>
      </c>
      <c r="C15" s="86" t="s">
        <v>20</v>
      </c>
      <c r="D15" s="140" t="s">
        <v>716</v>
      </c>
      <c r="E15" s="140">
        <v>5.0</v>
      </c>
      <c r="F15" s="140">
        <v>2.0</v>
      </c>
      <c r="G15" s="140" t="s">
        <v>45</v>
      </c>
      <c r="H15" s="140" t="s">
        <v>23</v>
      </c>
      <c r="I15" s="140" t="s">
        <v>23</v>
      </c>
      <c r="J15" s="213" t="s">
        <v>926</v>
      </c>
      <c r="K15" s="106" t="b">
        <v>0</v>
      </c>
      <c r="L15" s="106" t="b">
        <v>0</v>
      </c>
      <c r="M15" s="106" t="b">
        <v>0</v>
      </c>
      <c r="N15" s="106" t="b">
        <v>0</v>
      </c>
      <c r="O15" s="106" t="b">
        <v>0</v>
      </c>
      <c r="P15" s="118"/>
      <c r="Q15" s="135" t="s">
        <v>334</v>
      </c>
      <c r="R15" s="75" t="s">
        <v>335</v>
      </c>
      <c r="S15" s="39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</row>
    <row r="16" ht="28.5" customHeight="1" outlineLevel="1">
      <c r="A16" s="19" t="b">
        <v>0</v>
      </c>
      <c r="B16" s="365" t="s">
        <v>414</v>
      </c>
      <c r="C16" s="365" t="s">
        <v>26</v>
      </c>
      <c r="D16" s="365" t="s">
        <v>716</v>
      </c>
      <c r="E16" s="365">
        <v>8.0</v>
      </c>
      <c r="F16" s="365">
        <v>2.0</v>
      </c>
      <c r="G16" s="34" t="s">
        <v>45</v>
      </c>
      <c r="H16" s="365" t="s">
        <v>23</v>
      </c>
      <c r="I16" s="365" t="s">
        <v>23</v>
      </c>
      <c r="J16" s="128">
        <v>46010.0</v>
      </c>
      <c r="K16" s="19" t="b">
        <v>1</v>
      </c>
      <c r="L16" s="19" t="b">
        <v>1</v>
      </c>
      <c r="M16" s="19" t="b">
        <v>1</v>
      </c>
      <c r="N16" s="19" t="b">
        <v>1</v>
      </c>
      <c r="O16" s="59" t="b">
        <v>1</v>
      </c>
      <c r="P16" s="118"/>
      <c r="Q16" s="65" t="s">
        <v>62</v>
      </c>
      <c r="R16" s="66" t="s">
        <v>58</v>
      </c>
      <c r="S16" s="33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</row>
    <row r="17" outlineLevel="1">
      <c r="A17" s="19" t="b">
        <v>0</v>
      </c>
      <c r="B17" s="35" t="s">
        <v>340</v>
      </c>
      <c r="C17" s="35" t="s">
        <v>20</v>
      </c>
      <c r="D17" s="35" t="s">
        <v>927</v>
      </c>
      <c r="E17" s="34">
        <v>4.0</v>
      </c>
      <c r="F17" s="34">
        <v>1.0</v>
      </c>
      <c r="G17" s="34" t="s">
        <v>58</v>
      </c>
      <c r="H17" s="34" t="s">
        <v>31</v>
      </c>
      <c r="I17" s="34" t="s">
        <v>31</v>
      </c>
      <c r="J17" s="149">
        <v>46036.0</v>
      </c>
      <c r="K17" s="19" t="b">
        <v>1</v>
      </c>
      <c r="L17" s="19" t="b">
        <v>0</v>
      </c>
      <c r="M17" s="19" t="b">
        <v>0</v>
      </c>
      <c r="N17" s="19" t="b">
        <v>0</v>
      </c>
      <c r="O17" s="19" t="b">
        <v>0</v>
      </c>
      <c r="P17" s="118"/>
      <c r="Q17" s="65" t="s">
        <v>66</v>
      </c>
      <c r="R17" s="69" t="s">
        <v>67</v>
      </c>
      <c r="S17" s="39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</row>
    <row r="18" outlineLevel="1">
      <c r="A18" s="19" t="b">
        <v>0</v>
      </c>
      <c r="B18" s="35" t="s">
        <v>245</v>
      </c>
      <c r="C18" s="35" t="s">
        <v>20</v>
      </c>
      <c r="D18" s="35" t="s">
        <v>928</v>
      </c>
      <c r="E18" s="34"/>
      <c r="F18" s="34"/>
      <c r="G18" s="34"/>
      <c r="H18" s="34" t="s">
        <v>31</v>
      </c>
      <c r="I18" s="34" t="s">
        <v>23</v>
      </c>
      <c r="J18" s="165" t="s">
        <v>929</v>
      </c>
      <c r="K18" s="19" t="b">
        <v>0</v>
      </c>
      <c r="L18" s="19" t="b">
        <v>0</v>
      </c>
      <c r="M18" s="19" t="b">
        <v>0</v>
      </c>
      <c r="N18" s="19" t="b">
        <v>0</v>
      </c>
      <c r="O18" s="19" t="b">
        <v>0</v>
      </c>
      <c r="P18" s="118"/>
      <c r="Q18" s="192" t="s">
        <v>343</v>
      </c>
      <c r="R18" s="193" t="s">
        <v>58</v>
      </c>
      <c r="S18" s="39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</row>
    <row r="19" ht="15.0" customHeight="1" outlineLevel="1">
      <c r="A19" s="19" t="b">
        <v>0</v>
      </c>
      <c r="B19" s="35" t="s">
        <v>541</v>
      </c>
      <c r="C19" s="35" t="s">
        <v>20</v>
      </c>
      <c r="D19" s="34" t="s">
        <v>156</v>
      </c>
      <c r="E19" s="34">
        <v>1.0</v>
      </c>
      <c r="F19" s="34">
        <v>1.0</v>
      </c>
      <c r="G19" s="34" t="s">
        <v>27</v>
      </c>
      <c r="H19" s="34" t="s">
        <v>31</v>
      </c>
      <c r="I19" s="34" t="s">
        <v>23</v>
      </c>
      <c r="J19" s="105" t="s">
        <v>930</v>
      </c>
      <c r="K19" s="19" t="b">
        <v>0</v>
      </c>
      <c r="L19" s="19" t="b">
        <v>0</v>
      </c>
      <c r="M19" s="19" t="b">
        <v>0</v>
      </c>
      <c r="N19" s="19" t="b">
        <v>0</v>
      </c>
      <c r="O19" s="19" t="b">
        <v>0</v>
      </c>
      <c r="P19" s="118"/>
      <c r="Q19" s="65" t="s">
        <v>345</v>
      </c>
      <c r="R19" s="193" t="s">
        <v>346</v>
      </c>
      <c r="S19" s="39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</row>
    <row r="20" outlineLevel="1">
      <c r="A20" s="19" t="b">
        <v>0</v>
      </c>
      <c r="B20" s="34" t="s">
        <v>417</v>
      </c>
      <c r="C20" s="35" t="s">
        <v>20</v>
      </c>
      <c r="D20" s="34" t="s">
        <v>716</v>
      </c>
      <c r="E20" s="34">
        <v>7.0</v>
      </c>
      <c r="F20" s="34">
        <v>2.0</v>
      </c>
      <c r="G20" s="34" t="s">
        <v>822</v>
      </c>
      <c r="H20" s="34" t="s">
        <v>31</v>
      </c>
      <c r="I20" s="34" t="s">
        <v>31</v>
      </c>
      <c r="J20" s="374">
        <v>45995.0</v>
      </c>
      <c r="K20" s="19" t="b">
        <v>1</v>
      </c>
      <c r="L20" s="19" t="b">
        <v>1</v>
      </c>
      <c r="M20" s="19" t="b">
        <v>1</v>
      </c>
      <c r="N20" s="19" t="b">
        <v>1</v>
      </c>
      <c r="O20" s="19" t="b">
        <v>1</v>
      </c>
      <c r="P20" s="118"/>
      <c r="Q20" s="65"/>
      <c r="R20" s="443"/>
      <c r="S20" s="443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</row>
    <row r="21" outlineLevel="1">
      <c r="A21" s="19" t="b">
        <v>0</v>
      </c>
      <c r="B21" s="35" t="s">
        <v>549</v>
      </c>
      <c r="C21" s="35" t="s">
        <v>20</v>
      </c>
      <c r="D21" s="34" t="s">
        <v>170</v>
      </c>
      <c r="E21" s="34">
        <v>1.0</v>
      </c>
      <c r="F21" s="34">
        <v>1.0</v>
      </c>
      <c r="G21" s="34" t="s">
        <v>27</v>
      </c>
      <c r="H21" s="34" t="s">
        <v>31</v>
      </c>
      <c r="I21" s="34" t="s">
        <v>23</v>
      </c>
      <c r="J21" s="105" t="s">
        <v>931</v>
      </c>
      <c r="K21" s="19" t="b">
        <v>1</v>
      </c>
      <c r="L21" s="19" t="b">
        <v>1</v>
      </c>
      <c r="M21" s="19" t="b">
        <v>1</v>
      </c>
      <c r="N21" s="19" t="b">
        <v>1</v>
      </c>
      <c r="O21" s="19" t="b">
        <v>1</v>
      </c>
      <c r="P21" s="118"/>
      <c r="Q21" s="65" t="s">
        <v>71</v>
      </c>
      <c r="R21" s="72" t="s">
        <v>58</v>
      </c>
      <c r="S21" s="39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</row>
    <row r="22" outlineLevel="1">
      <c r="A22" s="19" t="b">
        <v>0</v>
      </c>
      <c r="B22" s="35" t="s">
        <v>551</v>
      </c>
      <c r="C22" s="35" t="s">
        <v>20</v>
      </c>
      <c r="D22" s="35" t="s">
        <v>932</v>
      </c>
      <c r="E22" s="34">
        <v>1.0</v>
      </c>
      <c r="F22" s="34">
        <v>1.0</v>
      </c>
      <c r="G22" s="34" t="s">
        <v>27</v>
      </c>
      <c r="H22" s="34" t="s">
        <v>31</v>
      </c>
      <c r="I22" s="34" t="s">
        <v>31</v>
      </c>
      <c r="J22" s="128">
        <v>46013.0</v>
      </c>
      <c r="K22" s="19" t="b">
        <v>0</v>
      </c>
      <c r="L22" s="19" t="b">
        <v>0</v>
      </c>
      <c r="M22" s="19" t="b">
        <v>0</v>
      </c>
      <c r="N22" s="19" t="b">
        <v>0</v>
      </c>
      <c r="O22" s="19" t="b">
        <v>0</v>
      </c>
      <c r="P22" s="118"/>
      <c r="Q22" s="135"/>
      <c r="R22" s="137"/>
      <c r="S22" s="39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</row>
    <row r="23" outlineLevel="1">
      <c r="A23" s="19" t="b">
        <v>0</v>
      </c>
      <c r="B23" s="35" t="s">
        <v>933</v>
      </c>
      <c r="C23" s="35" t="s">
        <v>26</v>
      </c>
      <c r="D23" s="34" t="s">
        <v>21</v>
      </c>
      <c r="E23" s="34">
        <v>1.5</v>
      </c>
      <c r="F23" s="34">
        <v>1.0</v>
      </c>
      <c r="G23" s="34"/>
      <c r="H23" s="34" t="s">
        <v>23</v>
      </c>
      <c r="I23" s="34" t="s">
        <v>23</v>
      </c>
      <c r="J23" s="128">
        <v>46000.0</v>
      </c>
      <c r="K23" s="19" t="b">
        <v>1</v>
      </c>
      <c r="L23" s="19" t="b">
        <v>1</v>
      </c>
      <c r="M23" s="19" t="b">
        <v>1</v>
      </c>
      <c r="N23" s="19" t="b">
        <v>1</v>
      </c>
      <c r="O23" s="19" t="b">
        <v>1</v>
      </c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</row>
    <row r="24" outlineLevel="1">
      <c r="A24" s="19" t="b">
        <v>0</v>
      </c>
      <c r="B24" s="28" t="s">
        <v>177</v>
      </c>
      <c r="C24" s="28"/>
      <c r="D24" s="28" t="s">
        <v>21</v>
      </c>
      <c r="E24" s="28">
        <v>1.0</v>
      </c>
      <c r="F24" s="28">
        <v>1.0</v>
      </c>
      <c r="G24" s="34"/>
      <c r="H24" s="27"/>
      <c r="I24" s="27"/>
      <c r="J24" s="111">
        <v>46013.0</v>
      </c>
      <c r="K24" s="19" t="b">
        <v>1</v>
      </c>
      <c r="L24" s="19" t="b">
        <v>0</v>
      </c>
      <c r="M24" s="19" t="b">
        <v>1</v>
      </c>
      <c r="N24" s="19" t="b">
        <v>1</v>
      </c>
      <c r="O24" s="19" t="b">
        <v>0</v>
      </c>
      <c r="P24" s="130"/>
      <c r="Q24" s="243"/>
      <c r="R24" s="243"/>
      <c r="S24" s="243"/>
      <c r="U24" s="80"/>
      <c r="V24" s="73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</row>
    <row r="25" outlineLevel="1">
      <c r="A25" s="19" t="b">
        <v>0</v>
      </c>
      <c r="B25" s="35" t="s">
        <v>934</v>
      </c>
      <c r="C25" s="35" t="s">
        <v>20</v>
      </c>
      <c r="D25" s="34" t="s">
        <v>21</v>
      </c>
      <c r="E25" s="34">
        <v>1.0</v>
      </c>
      <c r="F25" s="34">
        <v>1.0</v>
      </c>
      <c r="G25" s="34" t="s">
        <v>22</v>
      </c>
      <c r="H25" s="34" t="s">
        <v>23</v>
      </c>
      <c r="I25" s="34" t="s">
        <v>23</v>
      </c>
      <c r="J25" s="105" t="s">
        <v>935</v>
      </c>
      <c r="K25" s="19" t="b">
        <v>0</v>
      </c>
      <c r="L25" s="19" t="b">
        <v>0</v>
      </c>
      <c r="M25" s="19" t="b">
        <v>0</v>
      </c>
      <c r="N25" s="19" t="b">
        <v>0</v>
      </c>
      <c r="O25" s="19" t="b">
        <v>0</v>
      </c>
      <c r="P25" s="130"/>
      <c r="Q25" s="243"/>
      <c r="R25" s="243"/>
      <c r="S25" s="243"/>
      <c r="U25" s="80"/>
      <c r="V25" s="73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</row>
    <row r="26" outlineLevel="1">
      <c r="A26" s="444" t="b">
        <v>0</v>
      </c>
      <c r="B26" s="213" t="s">
        <v>936</v>
      </c>
      <c r="C26" s="213" t="s">
        <v>167</v>
      </c>
      <c r="D26" s="213" t="s">
        <v>21</v>
      </c>
      <c r="E26" s="213">
        <v>1.0</v>
      </c>
      <c r="F26" s="213">
        <v>1.0</v>
      </c>
      <c r="G26" s="445" t="s">
        <v>22</v>
      </c>
      <c r="H26" s="213" t="s">
        <v>23</v>
      </c>
      <c r="I26" s="213" t="s">
        <v>23</v>
      </c>
      <c r="J26" s="213" t="s">
        <v>926</v>
      </c>
      <c r="K26" s="444" t="b">
        <v>0</v>
      </c>
      <c r="L26" s="444" t="b">
        <v>0</v>
      </c>
      <c r="M26" s="444" t="b">
        <v>0</v>
      </c>
      <c r="N26" s="444" t="b">
        <v>0</v>
      </c>
      <c r="O26" s="444" t="b">
        <v>0</v>
      </c>
      <c r="P26" s="343"/>
      <c r="Q26" s="446" t="s">
        <v>79</v>
      </c>
      <c r="R26" s="78"/>
      <c r="S26" s="79"/>
      <c r="T26" s="362"/>
      <c r="U26" s="447" t="s">
        <v>80</v>
      </c>
      <c r="V26" s="448"/>
      <c r="W26" s="343"/>
      <c r="X26" s="343"/>
      <c r="Y26" s="343"/>
      <c r="Z26" s="343"/>
      <c r="AA26" s="343"/>
      <c r="AB26" s="343"/>
      <c r="AC26" s="343"/>
      <c r="AD26" s="343"/>
      <c r="AE26" s="343"/>
      <c r="AF26" s="343"/>
      <c r="AG26" s="343"/>
    </row>
    <row r="27" ht="30.0" customHeight="1" outlineLevel="1">
      <c r="A27" s="19" t="b">
        <v>0</v>
      </c>
      <c r="B27" s="35" t="s">
        <v>937</v>
      </c>
      <c r="C27" s="35" t="s">
        <v>20</v>
      </c>
      <c r="D27" s="34" t="s">
        <v>21</v>
      </c>
      <c r="E27" s="34">
        <v>1.5</v>
      </c>
      <c r="F27" s="34">
        <v>1.0</v>
      </c>
      <c r="G27" s="34" t="s">
        <v>22</v>
      </c>
      <c r="H27" s="34" t="s">
        <v>23</v>
      </c>
      <c r="I27" s="34" t="s">
        <v>23</v>
      </c>
      <c r="J27" s="128">
        <v>46030.0</v>
      </c>
      <c r="K27" s="19" t="b">
        <v>1</v>
      </c>
      <c r="L27" s="19" t="b">
        <v>0</v>
      </c>
      <c r="M27" s="19" t="b">
        <v>1</v>
      </c>
      <c r="N27" s="19" t="b">
        <v>1</v>
      </c>
      <c r="O27" s="19" t="b">
        <v>0</v>
      </c>
      <c r="P27" s="118"/>
      <c r="Q27" s="81" t="s">
        <v>83</v>
      </c>
      <c r="R27" s="82" t="s">
        <v>84</v>
      </c>
      <c r="S27" s="83"/>
      <c r="T27" s="84" t="s">
        <v>85</v>
      </c>
      <c r="U27" s="85" t="s">
        <v>86</v>
      </c>
      <c r="V27" s="73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</row>
    <row r="28" ht="29.25" customHeight="1" outlineLevel="1">
      <c r="A28" s="19" t="b">
        <v>0</v>
      </c>
      <c r="B28" s="35" t="s">
        <v>430</v>
      </c>
      <c r="C28" s="35" t="s">
        <v>20</v>
      </c>
      <c r="D28" s="35" t="s">
        <v>55</v>
      </c>
      <c r="E28" s="34">
        <v>8.0</v>
      </c>
      <c r="F28" s="34">
        <v>2.0</v>
      </c>
      <c r="G28" s="34" t="s">
        <v>113</v>
      </c>
      <c r="H28" s="34" t="s">
        <v>31</v>
      </c>
      <c r="I28" s="34" t="s">
        <v>23</v>
      </c>
      <c r="J28" s="128">
        <v>45989.0</v>
      </c>
      <c r="K28" s="19" t="b">
        <v>1</v>
      </c>
      <c r="L28" s="19" t="b">
        <v>1</v>
      </c>
      <c r="M28" s="19" t="b">
        <v>1</v>
      </c>
      <c r="N28" s="19" t="b">
        <v>1</v>
      </c>
      <c r="O28" s="59" t="b">
        <v>1</v>
      </c>
      <c r="P28" s="118"/>
      <c r="Q28" s="89" t="s">
        <v>90</v>
      </c>
      <c r="R28" s="82" t="s">
        <v>91</v>
      </c>
      <c r="S28" s="83"/>
      <c r="T28" s="84" t="s">
        <v>85</v>
      </c>
      <c r="U28" s="85" t="s">
        <v>86</v>
      </c>
      <c r="V28" s="73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</row>
    <row r="29" ht="44.25" customHeight="1" outlineLevel="1">
      <c r="A29" s="19" t="b">
        <v>0</v>
      </c>
      <c r="B29" s="35" t="s">
        <v>570</v>
      </c>
      <c r="C29" s="35" t="s">
        <v>20</v>
      </c>
      <c r="D29" s="34" t="s">
        <v>716</v>
      </c>
      <c r="E29" s="34"/>
      <c r="F29" s="34"/>
      <c r="G29" s="34" t="s">
        <v>45</v>
      </c>
      <c r="H29" s="34" t="s">
        <v>23</v>
      </c>
      <c r="I29" s="34" t="s">
        <v>23</v>
      </c>
      <c r="J29" s="128">
        <v>46008.0</v>
      </c>
      <c r="K29" s="19" t="b">
        <v>1</v>
      </c>
      <c r="L29" s="19" t="b">
        <v>1</v>
      </c>
      <c r="M29" s="19" t="b">
        <v>1</v>
      </c>
      <c r="N29" s="19" t="b">
        <v>1</v>
      </c>
      <c r="O29" s="19" t="b">
        <v>1</v>
      </c>
      <c r="P29" s="130"/>
      <c r="Q29" s="91" t="s">
        <v>92</v>
      </c>
      <c r="R29" s="82" t="s">
        <v>93</v>
      </c>
      <c r="S29" s="83"/>
      <c r="T29" s="84" t="s">
        <v>85</v>
      </c>
      <c r="U29" s="85" t="s">
        <v>94</v>
      </c>
      <c r="V29" s="73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</row>
    <row r="30" ht="27.0" customHeight="1" outlineLevel="1">
      <c r="A30" s="19" t="b">
        <v>0</v>
      </c>
      <c r="B30" s="35" t="s">
        <v>938</v>
      </c>
      <c r="C30" s="35" t="s">
        <v>20</v>
      </c>
      <c r="D30" s="34" t="s">
        <v>21</v>
      </c>
      <c r="E30" s="34"/>
      <c r="F30" s="34"/>
      <c r="G30" s="34" t="s">
        <v>70</v>
      </c>
      <c r="H30" s="34" t="s">
        <v>23</v>
      </c>
      <c r="I30" s="34" t="s">
        <v>23</v>
      </c>
      <c r="J30" s="128">
        <v>45999.0</v>
      </c>
      <c r="K30" s="19" t="b">
        <v>1</v>
      </c>
      <c r="L30" s="19" t="b">
        <v>1</v>
      </c>
      <c r="M30" s="328" t="b">
        <v>1</v>
      </c>
      <c r="N30" s="328" t="b">
        <v>1</v>
      </c>
      <c r="O30" s="19" t="b">
        <v>1</v>
      </c>
      <c r="P30" s="118"/>
      <c r="Q30" s="93" t="s">
        <v>97</v>
      </c>
      <c r="R30" s="94" t="s">
        <v>98</v>
      </c>
      <c r="S30" s="95"/>
      <c r="T30" s="84" t="s">
        <v>85</v>
      </c>
      <c r="U30" s="85" t="s">
        <v>94</v>
      </c>
      <c r="V30" s="73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</row>
    <row r="31" ht="15.75" customHeight="1" outlineLevel="1">
      <c r="A31" s="19" t="b">
        <v>0</v>
      </c>
      <c r="B31" s="35" t="s">
        <v>432</v>
      </c>
      <c r="C31" s="35" t="s">
        <v>77</v>
      </c>
      <c r="D31" s="34" t="s">
        <v>716</v>
      </c>
      <c r="E31" s="34">
        <v>7.0</v>
      </c>
      <c r="F31" s="34">
        <v>2.0</v>
      </c>
      <c r="G31" s="34" t="s">
        <v>58</v>
      </c>
      <c r="H31" s="34" t="s">
        <v>31</v>
      </c>
      <c r="I31" s="34" t="s">
        <v>23</v>
      </c>
      <c r="J31" s="128">
        <v>46028.0</v>
      </c>
      <c r="K31" s="19" t="b">
        <v>1</v>
      </c>
      <c r="L31" s="19" t="b">
        <v>1</v>
      </c>
      <c r="M31" s="19" t="b">
        <v>1</v>
      </c>
      <c r="N31" s="19" t="b">
        <v>1</v>
      </c>
      <c r="O31" s="19" t="b">
        <v>1</v>
      </c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</row>
    <row r="32" ht="15.75" customHeight="1" outlineLevel="1">
      <c r="A32" s="19" t="b">
        <v>0</v>
      </c>
      <c r="B32" s="35" t="s">
        <v>121</v>
      </c>
      <c r="C32" s="35" t="s">
        <v>122</v>
      </c>
      <c r="D32" s="34" t="s">
        <v>123</v>
      </c>
      <c r="E32" s="34">
        <v>2.0</v>
      </c>
      <c r="F32" s="34">
        <v>1.0</v>
      </c>
      <c r="G32" s="34" t="s">
        <v>58</v>
      </c>
      <c r="H32" s="34" t="s">
        <v>23</v>
      </c>
      <c r="I32" s="34" t="s">
        <v>31</v>
      </c>
      <c r="J32" s="40" t="s">
        <v>939</v>
      </c>
      <c r="K32" s="19" t="b">
        <v>1</v>
      </c>
      <c r="L32" s="19" t="b">
        <v>0</v>
      </c>
      <c r="M32" s="19" t="b">
        <v>0</v>
      </c>
      <c r="N32" s="19" t="b">
        <v>0</v>
      </c>
      <c r="O32" s="19" t="b">
        <v>0</v>
      </c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</row>
    <row r="33" ht="15.75" customHeight="1" outlineLevel="1">
      <c r="A33" s="19" t="b">
        <v>0</v>
      </c>
      <c r="B33" s="35" t="s">
        <v>940</v>
      </c>
      <c r="C33" s="35" t="s">
        <v>20</v>
      </c>
      <c r="D33" s="34" t="s">
        <v>21</v>
      </c>
      <c r="E33" s="34">
        <v>4.0</v>
      </c>
      <c r="F33" s="34">
        <v>2.0</v>
      </c>
      <c r="G33" s="34" t="s">
        <v>58</v>
      </c>
      <c r="H33" s="34" t="s">
        <v>31</v>
      </c>
      <c r="I33" s="34" t="s">
        <v>31</v>
      </c>
      <c r="J33" s="58" t="s">
        <v>941</v>
      </c>
      <c r="K33" s="19" t="b">
        <v>1</v>
      </c>
      <c r="L33" s="19" t="b">
        <v>1</v>
      </c>
      <c r="M33" s="19" t="b">
        <v>1</v>
      </c>
      <c r="N33" s="19" t="b">
        <v>1</v>
      </c>
      <c r="O33" s="59" t="b">
        <v>0</v>
      </c>
      <c r="P33" s="118"/>
      <c r="Q33" s="96"/>
      <c r="R33" s="85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</row>
    <row r="34" ht="15.75" customHeight="1" outlineLevel="1">
      <c r="A34" s="19" t="b">
        <v>0</v>
      </c>
      <c r="B34" s="35" t="s">
        <v>942</v>
      </c>
      <c r="C34" s="35" t="s">
        <v>77</v>
      </c>
      <c r="D34" s="34" t="s">
        <v>21</v>
      </c>
      <c r="E34" s="35">
        <v>1.5</v>
      </c>
      <c r="F34" s="34">
        <v>1.0</v>
      </c>
      <c r="G34" s="34" t="s">
        <v>22</v>
      </c>
      <c r="H34" s="34" t="s">
        <v>23</v>
      </c>
      <c r="I34" s="34" t="s">
        <v>23</v>
      </c>
      <c r="J34" s="374">
        <v>45989.0</v>
      </c>
      <c r="K34" s="19" t="b">
        <v>1</v>
      </c>
      <c r="L34" s="19" t="b">
        <v>1</v>
      </c>
      <c r="M34" s="19" t="b">
        <v>1</v>
      </c>
      <c r="N34" s="19" t="b">
        <v>1</v>
      </c>
      <c r="O34" s="19" t="b">
        <v>1</v>
      </c>
      <c r="P34" s="401" t="s">
        <v>51</v>
      </c>
      <c r="Q34" s="201" t="s">
        <v>362</v>
      </c>
      <c r="R34" s="103" t="str">
        <f>(E3*F3)+(E4*F4)+(E5*F5)+(E6*F6)+(OCT!E14*OCT!F14)+(E8*F8)+(E9*F9)+(E13*F13)+(E14*F14)+(E15*F15)+(E16*F16)+(E17*F17)+(E18*F18)+(E19*F19)+(E21*F21)+(E22*F22)+(E23*F23)+(E26*F26)+(E27*F27)+(E28*F28)+(E29*F29)+(E30*F30)+(E31*F31)+(E32*F32)+(E34*F34)+(E35*F35)+(E36*F36)+(E37*F37)+(E38*F38)+(E39*F39)+(E40*F40)+(NOV!E55*NOV!F55)+(E42*F42)+(E43*F43)+(E44*F44)+(E45*F45)+(E46*F46)+(E47*F47)+(E48*F48)+(E49*F49)+(E50*F50)+(E51*F51)+(E52*F52)+(E53*F53)+(E54*F54)+(E55*F55)+(E56*F56)+(E57*F57)+(E58*F58)+(E59*F59)+(E60*F60)+(E61*F61)+(E62*F62)+(E63*F63)+(E64*F64)+(E65*F65)+(E66*F66)+(E67*F67)+(E68*F68)+(E69*F69)+(E70*F70)+(E71*F71)+(E72*F72)+(E73*F73)+(E74*F74)+(E75*F75)+(E76*F76)+(E77*F77)+(E78*F78)+(E79*F79)+(E80*F80)+(E81*F81)+(E82*F82)+(E83*F83)+(E84*F84)+(E85*F85)+(E86*F86)+(E87*F87)+(E88*F88)+(E89*F89)+(E90*F90)+(E91*F91)+(E92*F92)+(E93*F93)+(E94*F94)+(E95*F95)+(E96*F96)+(E97*F97)+(E98*F98)+(E99*F99)+(E100*F100)+(E101*F101)+(E102*F102)+(E103*F103)+(E104*F104)+(E105*F105)+(E106*F106)+(E107*F107)</f>
        <v>#VALUE!</v>
      </c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</row>
    <row r="35" ht="15.75" customHeight="1" outlineLevel="1">
      <c r="A35" s="106" t="b">
        <v>0</v>
      </c>
      <c r="B35" s="86" t="s">
        <v>943</v>
      </c>
      <c r="C35" s="86" t="s">
        <v>20</v>
      </c>
      <c r="D35" s="140" t="s">
        <v>21</v>
      </c>
      <c r="E35" s="140">
        <v>4.0</v>
      </c>
      <c r="F35" s="140">
        <v>2.0</v>
      </c>
      <c r="G35" s="140" t="s">
        <v>70</v>
      </c>
      <c r="H35" s="140" t="s">
        <v>23</v>
      </c>
      <c r="I35" s="140" t="s">
        <v>23</v>
      </c>
      <c r="J35" s="428" t="s">
        <v>935</v>
      </c>
      <c r="K35" s="106" t="b">
        <v>0</v>
      </c>
      <c r="L35" s="106" t="b">
        <v>0</v>
      </c>
      <c r="M35" s="106" t="b">
        <v>0</v>
      </c>
      <c r="N35" s="106" t="b">
        <v>0</v>
      </c>
      <c r="O35" s="106" t="b">
        <v>0</v>
      </c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</row>
    <row r="36" ht="15.75" customHeight="1" outlineLevel="1">
      <c r="A36" s="19" t="b">
        <v>0</v>
      </c>
      <c r="B36" s="35" t="s">
        <v>944</v>
      </c>
      <c r="C36" s="35" t="s">
        <v>20</v>
      </c>
      <c r="D36" s="34" t="s">
        <v>21</v>
      </c>
      <c r="E36" s="34">
        <v>4.0</v>
      </c>
      <c r="F36" s="34">
        <v>2.0</v>
      </c>
      <c r="G36" s="34" t="s">
        <v>70</v>
      </c>
      <c r="H36" s="34" t="s">
        <v>23</v>
      </c>
      <c r="I36" s="34" t="s">
        <v>23</v>
      </c>
      <c r="J36" s="128">
        <v>46030.0</v>
      </c>
      <c r="K36" s="19" t="b">
        <v>1</v>
      </c>
      <c r="L36" s="19" t="b">
        <v>0</v>
      </c>
      <c r="M36" s="19" t="b">
        <v>0</v>
      </c>
      <c r="N36" s="19" t="b">
        <v>0</v>
      </c>
      <c r="O36" s="19" t="b">
        <v>0</v>
      </c>
      <c r="P36" s="118"/>
      <c r="Q36" s="143" t="s">
        <v>192</v>
      </c>
      <c r="R36" s="144"/>
      <c r="S36" s="18"/>
      <c r="T36" s="449">
        <v>580.0</v>
      </c>
      <c r="U36" s="85"/>
      <c r="V36" s="85" t="s">
        <v>193</v>
      </c>
      <c r="AF36" s="118"/>
      <c r="AG36" s="118"/>
    </row>
    <row r="37" ht="15.75" customHeight="1" outlineLevel="1">
      <c r="A37" s="106" t="b">
        <v>0</v>
      </c>
      <c r="B37" s="46" t="s">
        <v>438</v>
      </c>
      <c r="C37" s="46" t="s">
        <v>20</v>
      </c>
      <c r="D37" s="46" t="s">
        <v>716</v>
      </c>
      <c r="E37" s="46">
        <v>7.0</v>
      </c>
      <c r="F37" s="46">
        <v>2.0</v>
      </c>
      <c r="G37" s="86" t="s">
        <v>378</v>
      </c>
      <c r="H37" s="46" t="s">
        <v>23</v>
      </c>
      <c r="I37" s="46" t="s">
        <v>23</v>
      </c>
      <c r="J37" s="450" t="s">
        <v>945</v>
      </c>
      <c r="K37" s="106" t="b">
        <v>0</v>
      </c>
      <c r="L37" s="106" t="b">
        <v>0</v>
      </c>
      <c r="M37" s="106" t="b">
        <v>0</v>
      </c>
      <c r="N37" s="106" t="b">
        <v>0</v>
      </c>
      <c r="O37" s="106" t="b">
        <v>0</v>
      </c>
      <c r="P37" s="118"/>
      <c r="Q37" s="85"/>
      <c r="R37" s="85"/>
      <c r="S37" s="85"/>
      <c r="T37" s="96"/>
      <c r="U37" s="85"/>
      <c r="V37" s="85"/>
      <c r="AF37" s="118"/>
      <c r="AG37" s="118"/>
    </row>
    <row r="38" ht="15.75" customHeight="1" outlineLevel="1">
      <c r="A38" s="19" t="b">
        <v>0</v>
      </c>
      <c r="B38" s="28" t="s">
        <v>440</v>
      </c>
      <c r="C38" s="28" t="s">
        <v>26</v>
      </c>
      <c r="D38" s="28" t="s">
        <v>21</v>
      </c>
      <c r="E38" s="28"/>
      <c r="F38" s="28"/>
      <c r="G38" s="35"/>
      <c r="H38" s="28"/>
      <c r="I38" s="28"/>
      <c r="J38" s="451" t="s">
        <v>946</v>
      </c>
      <c r="K38" s="19" t="b">
        <v>1</v>
      </c>
      <c r="L38" s="19" t="b">
        <v>1</v>
      </c>
      <c r="M38" s="19" t="b">
        <v>1</v>
      </c>
      <c r="N38" s="19" t="b">
        <v>1</v>
      </c>
      <c r="O38" s="19" t="b">
        <v>1</v>
      </c>
      <c r="P38" s="118"/>
      <c r="Q38" s="141" t="s">
        <v>199</v>
      </c>
      <c r="R38" s="102"/>
      <c r="S38" s="103" t="str">
        <f>T36-R34</f>
        <v>#VALUE!</v>
      </c>
      <c r="T38" s="96"/>
      <c r="U38" s="85"/>
      <c r="V38" s="85"/>
      <c r="AF38" s="118"/>
      <c r="AG38" s="118"/>
    </row>
    <row r="39" ht="15.75" customHeight="1" outlineLevel="1">
      <c r="A39" s="444" t="b">
        <v>0</v>
      </c>
      <c r="B39" s="452" t="s">
        <v>947</v>
      </c>
      <c r="C39" s="452" t="s">
        <v>20</v>
      </c>
      <c r="D39" s="452" t="s">
        <v>21</v>
      </c>
      <c r="E39" s="452">
        <v>2.5</v>
      </c>
      <c r="F39" s="452">
        <v>2.0</v>
      </c>
      <c r="G39" s="213" t="s">
        <v>264</v>
      </c>
      <c r="H39" s="452" t="s">
        <v>23</v>
      </c>
      <c r="I39" s="452" t="s">
        <v>23</v>
      </c>
      <c r="J39" s="302" t="s">
        <v>926</v>
      </c>
      <c r="K39" s="444" t="b">
        <v>1</v>
      </c>
      <c r="L39" s="444" t="b">
        <v>1</v>
      </c>
      <c r="M39" s="444" t="b">
        <v>1</v>
      </c>
      <c r="N39" s="444" t="b">
        <v>1</v>
      </c>
      <c r="O39" s="444" t="b">
        <v>1</v>
      </c>
      <c r="P39" s="343"/>
      <c r="Q39" s="343"/>
      <c r="R39" s="343"/>
      <c r="S39" s="343"/>
      <c r="T39" s="343"/>
      <c r="U39" s="343"/>
      <c r="V39" s="343"/>
      <c r="W39" s="343"/>
      <c r="X39" s="343"/>
      <c r="Y39" s="343"/>
      <c r="Z39" s="343"/>
      <c r="AA39" s="343"/>
      <c r="AB39" s="343"/>
      <c r="AC39" s="343"/>
      <c r="AD39" s="343"/>
      <c r="AE39" s="343"/>
      <c r="AF39" s="343"/>
      <c r="AG39" s="343"/>
    </row>
    <row r="40" ht="15.75" customHeight="1" outlineLevel="1">
      <c r="A40" s="19" t="b">
        <v>0</v>
      </c>
      <c r="B40" s="35" t="s">
        <v>948</v>
      </c>
      <c r="C40" s="35" t="s">
        <v>20</v>
      </c>
      <c r="D40" s="35" t="s">
        <v>21</v>
      </c>
      <c r="E40" s="35">
        <v>2.0</v>
      </c>
      <c r="F40" s="35">
        <v>2.0</v>
      </c>
      <c r="G40" s="35" t="s">
        <v>70</v>
      </c>
      <c r="H40" s="35" t="s">
        <v>23</v>
      </c>
      <c r="I40" s="35" t="s">
        <v>23</v>
      </c>
      <c r="J40" s="149">
        <v>46027.0</v>
      </c>
      <c r="K40" s="19" t="b">
        <v>1</v>
      </c>
      <c r="L40" s="19" t="b">
        <v>0</v>
      </c>
      <c r="M40" s="19" t="b">
        <v>0</v>
      </c>
      <c r="N40" s="19" t="b">
        <v>0</v>
      </c>
      <c r="O40" s="19" t="b">
        <v>0</v>
      </c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</row>
    <row r="41" ht="15.75" customHeight="1" outlineLevel="1">
      <c r="A41" s="19" t="b">
        <v>1</v>
      </c>
      <c r="B41" s="35" t="s">
        <v>949</v>
      </c>
      <c r="C41" s="35" t="s">
        <v>20</v>
      </c>
      <c r="D41" s="35" t="s">
        <v>102</v>
      </c>
      <c r="E41" s="35">
        <v>1.0</v>
      </c>
      <c r="F41" s="35">
        <v>1.0</v>
      </c>
      <c r="G41" s="35" t="s">
        <v>950</v>
      </c>
      <c r="H41" s="35" t="s">
        <v>23</v>
      </c>
      <c r="I41" s="35" t="s">
        <v>23</v>
      </c>
      <c r="J41" s="374">
        <v>46007.0</v>
      </c>
      <c r="K41" s="19" t="b">
        <v>1</v>
      </c>
      <c r="L41" s="19" t="b">
        <v>0</v>
      </c>
      <c r="M41" s="19" t="b">
        <v>1</v>
      </c>
      <c r="N41" s="19" t="b">
        <v>1</v>
      </c>
      <c r="O41" s="19" t="b">
        <v>0</v>
      </c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</row>
    <row r="42" ht="15.75" customHeight="1" outlineLevel="1">
      <c r="A42" s="19" t="b">
        <v>0</v>
      </c>
      <c r="B42" s="35" t="s">
        <v>951</v>
      </c>
      <c r="C42" s="35" t="s">
        <v>20</v>
      </c>
      <c r="D42" s="35" t="s">
        <v>102</v>
      </c>
      <c r="E42" s="35">
        <v>2.0</v>
      </c>
      <c r="F42" s="35">
        <v>1.0</v>
      </c>
      <c r="G42" s="35" t="s">
        <v>218</v>
      </c>
      <c r="H42" s="35" t="s">
        <v>23</v>
      </c>
      <c r="I42" s="35" t="s">
        <v>23</v>
      </c>
      <c r="J42" s="453">
        <v>46013.0</v>
      </c>
      <c r="K42" s="19" t="b">
        <v>1</v>
      </c>
      <c r="L42" s="19" t="b">
        <v>1</v>
      </c>
      <c r="M42" s="19" t="b">
        <v>1</v>
      </c>
      <c r="N42" s="19" t="b">
        <v>1</v>
      </c>
      <c r="O42" s="19" t="b">
        <v>1</v>
      </c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</row>
    <row r="43" ht="15.75" customHeight="1" outlineLevel="1">
      <c r="A43" s="19" t="b">
        <v>0</v>
      </c>
      <c r="B43" s="35" t="s">
        <v>952</v>
      </c>
      <c r="C43" s="35" t="s">
        <v>20</v>
      </c>
      <c r="D43" s="35" t="s">
        <v>102</v>
      </c>
      <c r="E43" s="35">
        <v>2.0</v>
      </c>
      <c r="F43" s="35">
        <v>1.0</v>
      </c>
      <c r="G43" s="35" t="s">
        <v>218</v>
      </c>
      <c r="H43" s="35" t="s">
        <v>23</v>
      </c>
      <c r="I43" s="35" t="s">
        <v>23</v>
      </c>
      <c r="J43" s="152">
        <v>46007.0</v>
      </c>
      <c r="K43" s="19" t="b">
        <v>1</v>
      </c>
      <c r="L43" s="19" t="b">
        <v>1</v>
      </c>
      <c r="M43" s="19" t="b">
        <v>1</v>
      </c>
      <c r="N43" s="19" t="b">
        <v>1</v>
      </c>
      <c r="O43" s="19" t="b">
        <v>0</v>
      </c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</row>
    <row r="44" ht="15.75" customHeight="1" outlineLevel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155"/>
      <c r="L44" s="155"/>
      <c r="M44" s="155"/>
      <c r="N44" s="155"/>
      <c r="O44" s="155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</row>
    <row r="45" ht="15.75" customHeight="1" outlineLevel="1">
      <c r="A45" s="34"/>
      <c r="B45" s="34"/>
      <c r="C45" s="34"/>
      <c r="D45" s="34"/>
      <c r="E45" s="34">
        <f>SUM(E3:E43)</f>
        <v>102</v>
      </c>
      <c r="F45" s="34"/>
      <c r="G45" s="34"/>
      <c r="H45" s="34"/>
      <c r="I45" s="34"/>
      <c r="J45" s="34"/>
      <c r="K45" s="155"/>
      <c r="L45" s="155"/>
      <c r="M45" s="155"/>
      <c r="N45" s="155"/>
      <c r="O45" s="155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</row>
    <row r="46" ht="15.75" customHeight="1" outlineLevel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155"/>
      <c r="L46" s="155"/>
      <c r="M46" s="155"/>
      <c r="N46" s="155"/>
      <c r="O46" s="155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</row>
    <row r="47" ht="15.75" customHeight="1" outlineLevel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155"/>
      <c r="L47" s="155"/>
      <c r="M47" s="155"/>
      <c r="N47" s="155"/>
      <c r="O47" s="155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</row>
    <row r="48" ht="15.75" customHeight="1" outlineLevel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155"/>
      <c r="L48" s="155"/>
      <c r="M48" s="155"/>
      <c r="N48" s="155"/>
      <c r="O48" s="155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</row>
    <row r="49" ht="15.75" customHeight="1" outlineLevel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155"/>
      <c r="L49" s="155"/>
      <c r="M49" s="155"/>
      <c r="N49" s="155"/>
      <c r="O49" s="155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</row>
    <row r="50" ht="15.75" customHeight="1" outlineLevel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155"/>
      <c r="L50" s="155"/>
      <c r="M50" s="155"/>
      <c r="N50" s="155"/>
      <c r="O50" s="155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</row>
    <row r="51" ht="15.75" customHeight="1" outlineLevel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155"/>
      <c r="L51" s="155"/>
      <c r="M51" s="155"/>
      <c r="N51" s="155"/>
      <c r="O51" s="155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</row>
    <row r="52" ht="15.75" customHeight="1" outlineLevel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155"/>
      <c r="L52" s="155"/>
      <c r="M52" s="155"/>
      <c r="N52" s="155"/>
      <c r="O52" s="155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</row>
    <row r="53" ht="15.75" customHeight="1" outlineLevel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155"/>
      <c r="L53" s="155"/>
      <c r="M53" s="155"/>
      <c r="N53" s="155"/>
      <c r="O53" s="155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</row>
    <row r="54" ht="15.75" customHeight="1" outlineLevel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155"/>
      <c r="L54" s="155"/>
      <c r="M54" s="155"/>
      <c r="N54" s="155"/>
      <c r="O54" s="155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</row>
    <row r="55" ht="15.75" customHeight="1" outlineLevel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155"/>
      <c r="L55" s="155"/>
      <c r="M55" s="155"/>
      <c r="N55" s="155"/>
      <c r="O55" s="155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</row>
    <row r="56" ht="15.75" customHeight="1" outlineLevel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155"/>
      <c r="L56" s="155"/>
      <c r="M56" s="155"/>
      <c r="N56" s="155"/>
      <c r="O56" s="155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</row>
    <row r="57" ht="15.75" customHeight="1" outlineLevel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155"/>
      <c r="L57" s="155"/>
      <c r="M57" s="155"/>
      <c r="N57" s="155"/>
      <c r="O57" s="155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</row>
    <row r="58" ht="15.75" customHeight="1" outlineLevel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155"/>
      <c r="L58" s="155"/>
      <c r="M58" s="155"/>
      <c r="N58" s="155"/>
      <c r="O58" s="155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</row>
    <row r="59" ht="15.75" customHeight="1" outlineLevel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155"/>
      <c r="L59" s="155"/>
      <c r="M59" s="155"/>
      <c r="N59" s="155"/>
      <c r="O59" s="155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</row>
    <row r="60" ht="15.75" customHeight="1" outlineLevel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155"/>
      <c r="L60" s="155"/>
      <c r="M60" s="155"/>
      <c r="N60" s="155"/>
      <c r="O60" s="155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</row>
    <row r="61" ht="15.75" customHeight="1" outlineLevel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155"/>
      <c r="L61" s="155"/>
      <c r="M61" s="155"/>
      <c r="N61" s="155"/>
      <c r="O61" s="155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</row>
    <row r="62" ht="15.75" customHeight="1" outlineLevel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155"/>
      <c r="L62" s="155"/>
      <c r="M62" s="155"/>
      <c r="N62" s="155"/>
      <c r="O62" s="155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</row>
    <row r="63" ht="15.75" customHeight="1" outlineLevel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155"/>
      <c r="L63" s="155"/>
      <c r="M63" s="155"/>
      <c r="N63" s="155"/>
      <c r="O63" s="155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</row>
    <row r="64" ht="15.75" customHeight="1" outlineLevel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155"/>
      <c r="L64" s="155"/>
      <c r="M64" s="155"/>
      <c r="N64" s="155"/>
      <c r="O64" s="155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</row>
    <row r="65" ht="15.75" customHeight="1" outlineLevel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155"/>
      <c r="L65" s="155"/>
      <c r="M65" s="155"/>
      <c r="N65" s="155"/>
      <c r="O65" s="155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</row>
    <row r="66" ht="15.75" customHeight="1" outlineLevel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155"/>
      <c r="L66" s="155"/>
      <c r="M66" s="155"/>
      <c r="N66" s="155"/>
      <c r="O66" s="155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</row>
    <row r="67" ht="15.75" customHeight="1" outlineLevel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155"/>
      <c r="L67" s="155"/>
      <c r="M67" s="155"/>
      <c r="N67" s="155"/>
      <c r="O67" s="155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</row>
    <row r="68" ht="15.75" customHeight="1" outlineLevel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155"/>
      <c r="L68" s="155"/>
      <c r="M68" s="155"/>
      <c r="N68" s="155"/>
      <c r="O68" s="155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</row>
    <row r="69" ht="15.75" customHeight="1" outlineLevel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155"/>
      <c r="L69" s="155"/>
      <c r="M69" s="155"/>
      <c r="N69" s="155"/>
      <c r="O69" s="155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</row>
    <row r="70" ht="15.75" customHeight="1" outlineLevel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155"/>
      <c r="L70" s="155"/>
      <c r="M70" s="155"/>
      <c r="N70" s="155"/>
      <c r="O70" s="155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</row>
    <row r="71" ht="15.75" customHeight="1" outlineLevel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155"/>
      <c r="L71" s="155"/>
      <c r="M71" s="155"/>
      <c r="N71" s="155"/>
      <c r="O71" s="155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</row>
    <row r="72" ht="15.75" customHeight="1" outlineLevel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155"/>
      <c r="L72" s="155"/>
      <c r="M72" s="155"/>
      <c r="N72" s="155"/>
      <c r="O72" s="155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</row>
    <row r="73" ht="15.75" customHeight="1" outlineLevel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155"/>
      <c r="L73" s="155"/>
      <c r="M73" s="155"/>
      <c r="N73" s="155"/>
      <c r="O73" s="155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</row>
    <row r="74" ht="15.75" customHeight="1" outlineLevel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155"/>
      <c r="L74" s="155"/>
      <c r="M74" s="155"/>
      <c r="N74" s="155"/>
      <c r="O74" s="155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</row>
    <row r="75" ht="15.75" customHeight="1" outlineLevel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155"/>
      <c r="L75" s="155"/>
      <c r="M75" s="155"/>
      <c r="N75" s="155"/>
      <c r="O75" s="155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</row>
    <row r="76" ht="15.75" customHeight="1" outlineLevel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155"/>
      <c r="L76" s="155"/>
      <c r="M76" s="155"/>
      <c r="N76" s="155"/>
      <c r="O76" s="155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</row>
    <row r="77" ht="15.75" customHeight="1" outlineLevel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155"/>
      <c r="L77" s="155"/>
      <c r="M77" s="155"/>
      <c r="N77" s="155"/>
      <c r="O77" s="155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</row>
    <row r="78" ht="15.75" customHeight="1" outlineLevel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155"/>
      <c r="L78" s="155"/>
      <c r="M78" s="155"/>
      <c r="N78" s="155"/>
      <c r="O78" s="155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</row>
    <row r="79" ht="15.75" customHeight="1" outlineLevel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155"/>
      <c r="L79" s="155"/>
      <c r="M79" s="155"/>
      <c r="N79" s="155"/>
      <c r="O79" s="155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</row>
    <row r="80" ht="15.75" customHeight="1" outlineLevel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155"/>
      <c r="L80" s="155"/>
      <c r="M80" s="155"/>
      <c r="N80" s="155"/>
      <c r="O80" s="155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</row>
    <row r="81" ht="15.75" customHeight="1" outlineLevel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155"/>
      <c r="L81" s="155"/>
      <c r="M81" s="155"/>
      <c r="N81" s="155"/>
      <c r="O81" s="155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</row>
    <row r="82" ht="15.75" customHeight="1" outlineLevel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155"/>
      <c r="L82" s="155"/>
      <c r="M82" s="155"/>
      <c r="N82" s="155"/>
      <c r="O82" s="155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</row>
    <row r="83" ht="15.75" customHeight="1" outlineLevel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155"/>
      <c r="L83" s="155"/>
      <c r="M83" s="155"/>
      <c r="N83" s="155"/>
      <c r="O83" s="155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</row>
    <row r="84" ht="15.75" customHeight="1" outlineLevel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155"/>
      <c r="L84" s="155"/>
      <c r="M84" s="155"/>
      <c r="N84" s="155"/>
      <c r="O84" s="155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</row>
    <row r="85" ht="15.75" customHeight="1" outlineLevel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155"/>
      <c r="L85" s="155"/>
      <c r="M85" s="155"/>
      <c r="N85" s="155"/>
      <c r="O85" s="155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</row>
    <row r="86" ht="15.75" customHeight="1" outlineLevel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155"/>
      <c r="L86" s="155"/>
      <c r="M86" s="155"/>
      <c r="N86" s="155"/>
      <c r="O86" s="155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</row>
    <row r="87" ht="15.75" customHeight="1" outlineLevel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155"/>
      <c r="L87" s="155"/>
      <c r="M87" s="155"/>
      <c r="N87" s="155"/>
      <c r="O87" s="155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</row>
    <row r="88" ht="15.75" customHeight="1" outlineLevel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155"/>
      <c r="L88" s="155"/>
      <c r="M88" s="155"/>
      <c r="N88" s="155"/>
      <c r="O88" s="155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</row>
    <row r="89" ht="15.75" customHeight="1" outlineLevel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155"/>
      <c r="L89" s="155"/>
      <c r="M89" s="155"/>
      <c r="N89" s="155"/>
      <c r="O89" s="155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</row>
    <row r="90" ht="15.75" customHeight="1" outlineLevel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155"/>
      <c r="L90" s="155"/>
      <c r="M90" s="155"/>
      <c r="N90" s="155"/>
      <c r="O90" s="155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</row>
    <row r="91" ht="15.75" customHeight="1" outlineLevel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155"/>
      <c r="L91" s="155"/>
      <c r="M91" s="155"/>
      <c r="N91" s="155"/>
      <c r="O91" s="155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</row>
    <row r="92" ht="15.75" customHeight="1" outlineLevel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155"/>
      <c r="L92" s="155"/>
      <c r="M92" s="155"/>
      <c r="N92" s="155"/>
      <c r="O92" s="155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</row>
    <row r="93" ht="15.75" customHeight="1" outlineLevel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155"/>
      <c r="L93" s="155"/>
      <c r="M93" s="155"/>
      <c r="N93" s="155"/>
      <c r="O93" s="155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</row>
    <row r="94" ht="15.75" customHeight="1" outlineLevel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155"/>
      <c r="L94" s="155"/>
      <c r="M94" s="155"/>
      <c r="N94" s="155"/>
      <c r="O94" s="155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</row>
    <row r="95" ht="15.75" customHeight="1" outlineLevel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155"/>
      <c r="L95" s="155"/>
      <c r="M95" s="155"/>
      <c r="N95" s="155"/>
      <c r="O95" s="155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</row>
    <row r="96" ht="15.75" customHeight="1" outlineLevel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155"/>
      <c r="L96" s="155"/>
      <c r="M96" s="155"/>
      <c r="N96" s="155"/>
      <c r="O96" s="155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</row>
    <row r="97" ht="15.75" customHeight="1" outlineLevel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155"/>
      <c r="L97" s="155"/>
      <c r="M97" s="155"/>
      <c r="N97" s="155"/>
      <c r="O97" s="155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</row>
    <row r="98" ht="15.75" customHeight="1" outlineLevel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155"/>
      <c r="L98" s="155"/>
      <c r="M98" s="155"/>
      <c r="N98" s="155"/>
      <c r="O98" s="155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</row>
    <row r="99" ht="15.75" customHeight="1" outlineLevel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155"/>
      <c r="L99" s="155"/>
      <c r="M99" s="155"/>
      <c r="N99" s="155"/>
      <c r="O99" s="155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</row>
    <row r="100" ht="15.75" customHeight="1" outlineLevel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155"/>
      <c r="L100" s="155"/>
      <c r="M100" s="155"/>
      <c r="N100" s="155"/>
      <c r="O100" s="155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</row>
    <row r="101" ht="15.75" customHeight="1" outlineLevel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155"/>
      <c r="L101" s="155"/>
      <c r="M101" s="155"/>
      <c r="N101" s="155"/>
      <c r="O101" s="155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</row>
    <row r="102" ht="15.75" customHeight="1" outlineLevel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155"/>
      <c r="L102" s="155"/>
      <c r="M102" s="155"/>
      <c r="N102" s="155"/>
      <c r="O102" s="155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</row>
    <row r="103" ht="15.75" customHeight="1" outlineLevel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155"/>
      <c r="L103" s="155"/>
      <c r="M103" s="155"/>
      <c r="N103" s="155"/>
      <c r="O103" s="155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</row>
    <row r="104" ht="15.75" customHeight="1" outlineLevel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155"/>
      <c r="L104" s="155"/>
      <c r="M104" s="155"/>
      <c r="N104" s="155"/>
      <c r="O104" s="155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</row>
    <row r="105" ht="15.75" customHeight="1" outlineLevel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155"/>
      <c r="L105" s="155"/>
      <c r="M105" s="155"/>
      <c r="N105" s="155"/>
      <c r="O105" s="155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</row>
    <row r="106" ht="15.75" customHeight="1" outlineLevel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155"/>
      <c r="L106" s="155"/>
      <c r="M106" s="155"/>
      <c r="N106" s="155"/>
      <c r="O106" s="155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</row>
    <row r="107" ht="15.75" customHeight="1" outlineLevel="1">
      <c r="A107" s="155"/>
      <c r="B107" s="34"/>
      <c r="C107" s="34"/>
      <c r="D107" s="34"/>
      <c r="E107" s="34"/>
      <c r="F107" s="34"/>
      <c r="G107" s="34"/>
      <c r="H107" s="34"/>
      <c r="I107" s="34"/>
      <c r="J107" s="34"/>
      <c r="K107" s="155"/>
      <c r="L107" s="155"/>
      <c r="M107" s="155"/>
      <c r="N107" s="155"/>
      <c r="O107" s="155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</row>
    <row r="108" ht="15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</row>
    <row r="109" ht="15.75" customHeight="1">
      <c r="A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</row>
    <row r="110" ht="15.75" customHeight="1">
      <c r="A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</row>
    <row r="111" ht="15.75" customHeight="1">
      <c r="A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</row>
    <row r="112" ht="15.75" customHeight="1">
      <c r="A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</row>
    <row r="113" ht="15.75" customHeight="1">
      <c r="A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</row>
    <row r="114" ht="15.75" customHeight="1">
      <c r="A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</row>
    <row r="115" ht="15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</row>
    <row r="116" ht="15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</row>
    <row r="117" ht="15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</row>
    <row r="118" ht="15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</row>
    <row r="119" ht="15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</row>
    <row r="120" ht="15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</row>
    <row r="121" ht="15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</row>
    <row r="122" ht="15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</row>
    <row r="123" ht="15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</row>
    <row r="124" ht="15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</row>
    <row r="125" ht="15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</row>
    <row r="126" ht="15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</row>
    <row r="127" ht="15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</row>
    <row r="128" ht="15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</row>
    <row r="129" ht="15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</row>
    <row r="130" ht="15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</row>
    <row r="131" ht="15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</row>
    <row r="132" ht="15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</row>
    <row r="133" ht="15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</row>
    <row r="134" ht="15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</row>
    <row r="135" ht="15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</row>
    <row r="136" ht="15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</row>
    <row r="137" ht="15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</row>
    <row r="138" ht="15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</row>
    <row r="139" ht="15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</row>
    <row r="140" ht="15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</row>
    <row r="141" ht="15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</row>
    <row r="142" ht="15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</row>
    <row r="143" ht="15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</row>
    <row r="144" ht="15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</row>
    <row r="145" ht="15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</row>
    <row r="146" ht="15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</row>
    <row r="147" ht="15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</row>
    <row r="148" ht="15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</row>
    <row r="149" ht="15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</row>
    <row r="150" ht="15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</row>
    <row r="151" ht="15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</row>
    <row r="152" ht="15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</row>
    <row r="153" ht="15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</row>
    <row r="154" ht="15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</row>
    <row r="155" ht="15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</row>
    <row r="156" ht="15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</row>
    <row r="157" ht="15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</row>
    <row r="158" ht="15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</row>
    <row r="159" ht="15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</row>
    <row r="160" ht="15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</row>
    <row r="161" ht="15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</row>
    <row r="162" ht="15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</row>
    <row r="163" ht="15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</row>
    <row r="164" ht="15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</row>
    <row r="165" ht="15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</row>
    <row r="166" ht="15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</row>
    <row r="167" ht="15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</row>
    <row r="168" ht="15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</row>
    <row r="169" ht="15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</row>
    <row r="170" ht="15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</row>
    <row r="171" ht="15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</row>
    <row r="172" ht="15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</row>
    <row r="173" ht="15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</row>
    <row r="174" ht="15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</row>
    <row r="175" ht="15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</row>
    <row r="176" ht="15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</row>
    <row r="177" ht="15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</row>
    <row r="178" ht="15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</row>
    <row r="179" ht="15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</row>
    <row r="180" ht="15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</row>
    <row r="181" ht="15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</row>
    <row r="182" ht="15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</row>
    <row r="183" ht="15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</row>
    <row r="184" ht="15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</row>
    <row r="185" ht="15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</row>
    <row r="186" ht="15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</row>
    <row r="187" ht="15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</row>
    <row r="188" ht="15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</row>
    <row r="189" ht="15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</row>
    <row r="190" ht="15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</row>
    <row r="191" ht="15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</row>
    <row r="192" ht="15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</row>
    <row r="193" ht="15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</row>
    <row r="194" ht="15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</row>
    <row r="195" ht="15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</row>
    <row r="196" ht="15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</row>
    <row r="197" ht="15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</row>
    <row r="198" ht="15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</row>
    <row r="199" ht="15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</row>
    <row r="200" ht="15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</row>
    <row r="201" ht="15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</row>
    <row r="202" ht="15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</row>
    <row r="203" ht="15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</row>
    <row r="204" ht="15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</row>
    <row r="205" ht="15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</row>
    <row r="206" ht="15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</row>
    <row r="207" ht="15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</row>
    <row r="208" ht="15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</row>
    <row r="209" ht="15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</row>
    <row r="210" ht="15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</row>
    <row r="211" ht="15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</row>
    <row r="212" ht="15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</row>
    <row r="213" ht="15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</row>
    <row r="214" ht="15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</row>
    <row r="215" ht="15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</row>
    <row r="216" ht="15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</row>
    <row r="217" ht="15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</row>
    <row r="218" ht="15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</row>
    <row r="219" ht="15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</row>
    <row r="220" ht="15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</row>
    <row r="221" ht="15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</row>
    <row r="222" ht="15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</row>
    <row r="223" ht="15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</row>
    <row r="224" ht="15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</row>
    <row r="225" ht="15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</row>
    <row r="226" ht="15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</row>
    <row r="227" ht="15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</row>
    <row r="228" ht="15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</row>
    <row r="229" ht="15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</row>
    <row r="230" ht="15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</row>
    <row r="231" ht="15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</row>
    <row r="232" ht="15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</row>
    <row r="233" ht="15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</row>
    <row r="234" ht="15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</row>
    <row r="235" ht="15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</row>
    <row r="236" ht="15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</row>
    <row r="237" ht="15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</row>
    <row r="238" ht="15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</row>
    <row r="239" ht="15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</row>
    <row r="240" ht="15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</row>
    <row r="241" ht="15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</row>
    <row r="242" ht="15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</row>
    <row r="243" ht="15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</row>
    <row r="244" ht="15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</row>
    <row r="245" ht="15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</row>
    <row r="246" ht="15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</row>
    <row r="247" ht="15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</row>
    <row r="248" ht="15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</row>
    <row r="249" ht="15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</row>
    <row r="250" ht="15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</row>
    <row r="251" ht="15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</row>
    <row r="252" ht="15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</row>
    <row r="253" ht="15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</row>
    <row r="254" ht="15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</row>
    <row r="255" ht="15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</row>
    <row r="256" ht="15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</row>
    <row r="257" ht="15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</row>
    <row r="258" ht="15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</row>
    <row r="259" ht="15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</row>
    <row r="260" ht="15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</row>
    <row r="261" ht="15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</row>
    <row r="262" ht="15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</row>
    <row r="263" ht="15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</row>
    <row r="264" ht="15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</row>
    <row r="265" ht="15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</row>
    <row r="266" ht="15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</row>
    <row r="267" ht="15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</row>
    <row r="268" ht="15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</row>
    <row r="269" ht="15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</row>
    <row r="270" ht="15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</row>
    <row r="271" ht="15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</row>
    <row r="272" ht="15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</row>
    <row r="273" ht="15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</row>
    <row r="274" ht="15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</row>
    <row r="275" ht="15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</row>
    <row r="276" ht="15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</row>
    <row r="277" ht="15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</row>
    <row r="278" ht="15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</row>
    <row r="279" ht="15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</row>
    <row r="280" ht="15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</row>
    <row r="281" ht="15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</row>
    <row r="282" ht="15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</row>
    <row r="283" ht="15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</row>
    <row r="284" ht="15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</row>
    <row r="285" ht="15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</row>
    <row r="286" ht="15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</row>
    <row r="287" ht="15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</row>
    <row r="288" ht="15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</row>
    <row r="289" ht="15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</row>
    <row r="290" ht="15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</row>
    <row r="291" ht="15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</row>
    <row r="292" ht="15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</row>
    <row r="293" ht="15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</row>
    <row r="294" ht="15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</row>
    <row r="295" ht="15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</row>
    <row r="296" ht="15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</row>
    <row r="297" ht="15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</row>
    <row r="298" ht="15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</row>
    <row r="299" ht="15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</row>
    <row r="300" ht="15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</row>
    <row r="301" ht="15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</row>
    <row r="302" ht="15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</row>
    <row r="303" ht="15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</row>
    <row r="304" ht="15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</row>
    <row r="305" ht="15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</row>
    <row r="306" ht="15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</row>
    <row r="307" ht="15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</row>
    <row r="308" ht="15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</row>
    <row r="309" ht="15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</row>
    <row r="310" ht="15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</row>
    <row r="311" ht="15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</row>
    <row r="312" ht="15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</row>
    <row r="313" ht="15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</row>
    <row r="314" ht="15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</row>
    <row r="315" ht="15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</row>
    <row r="316" ht="15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</row>
    <row r="317" ht="15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</row>
    <row r="318" ht="15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</row>
    <row r="319" ht="15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</row>
    <row r="320" ht="15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</row>
    <row r="321" ht="15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</row>
    <row r="322" ht="15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</row>
    <row r="323" ht="15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</row>
    <row r="324" ht="15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</row>
    <row r="325" ht="15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</row>
    <row r="326" ht="15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</row>
    <row r="327" ht="15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</row>
    <row r="328" ht="15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</row>
    <row r="329" ht="15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</row>
    <row r="330" ht="15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</row>
    <row r="331" ht="15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</row>
    <row r="332" ht="15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</row>
    <row r="333" ht="15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</row>
    <row r="334" ht="15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</row>
    <row r="335" ht="15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</row>
    <row r="336" ht="15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</row>
    <row r="337" ht="15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</row>
    <row r="338" ht="15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</row>
    <row r="339" ht="15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</row>
    <row r="340" ht="15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</row>
    <row r="341" ht="15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</row>
    <row r="342" ht="15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</row>
    <row r="343" ht="15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</row>
    <row r="344" ht="15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</row>
    <row r="345" ht="15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</row>
    <row r="346" ht="15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</row>
    <row r="347" ht="15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</row>
    <row r="348" ht="15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</row>
    <row r="349" ht="15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</row>
    <row r="350" ht="15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</row>
    <row r="351" ht="15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</row>
    <row r="352" ht="15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</row>
    <row r="353" ht="15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</row>
    <row r="354" ht="15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</row>
    <row r="355" ht="15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</row>
    <row r="356" ht="15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</row>
    <row r="357" ht="15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</row>
    <row r="358" ht="15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</row>
    <row r="359" ht="15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</row>
    <row r="360" ht="15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</row>
    <row r="361" ht="15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</row>
    <row r="362" ht="15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</row>
    <row r="363" ht="15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</row>
    <row r="364" ht="15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</row>
    <row r="365" ht="15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</row>
    <row r="366" ht="15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</row>
    <row r="367" ht="15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</row>
    <row r="368" ht="15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</row>
    <row r="369" ht="15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</row>
    <row r="370" ht="15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</row>
    <row r="371" ht="15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</row>
    <row r="372" ht="15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</row>
    <row r="373" ht="15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</row>
    <row r="374" ht="15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</row>
    <row r="375" ht="15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</row>
    <row r="376" ht="15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</row>
    <row r="377" ht="15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</row>
    <row r="378" ht="15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</row>
    <row r="379" ht="15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</row>
    <row r="380" ht="15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</row>
    <row r="381" ht="15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</row>
    <row r="382" ht="15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</row>
    <row r="383" ht="15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</row>
    <row r="384" ht="15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</row>
    <row r="385" ht="15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</row>
    <row r="386" ht="15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</row>
    <row r="387" ht="15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</row>
    <row r="388" ht="15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</row>
    <row r="389" ht="15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</row>
    <row r="390" ht="15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</row>
    <row r="391" ht="15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</row>
    <row r="392" ht="15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</row>
    <row r="393" ht="15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</row>
    <row r="394" ht="15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</row>
    <row r="395" ht="15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</row>
    <row r="396" ht="15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</row>
    <row r="397" ht="15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</row>
    <row r="398" ht="15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</row>
    <row r="399" ht="15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</row>
    <row r="400" ht="15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</row>
    <row r="401" ht="15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</row>
    <row r="402" ht="15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</row>
    <row r="403" ht="15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</row>
    <row r="404" ht="15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</row>
    <row r="405" ht="15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</row>
    <row r="406" ht="15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</row>
    <row r="407" ht="15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</row>
    <row r="408" ht="15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</row>
    <row r="409" ht="15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</row>
    <row r="410" ht="15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</row>
    <row r="411" ht="15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</row>
    <row r="412" ht="15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</row>
    <row r="413" ht="15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</row>
    <row r="414" ht="15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</row>
    <row r="415" ht="15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</row>
    <row r="416" ht="15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</row>
    <row r="417" ht="15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</row>
    <row r="418" ht="15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</row>
    <row r="419" ht="15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</row>
    <row r="420" ht="15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</row>
    <row r="421" ht="15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</row>
    <row r="422" ht="15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</row>
    <row r="423" ht="15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</row>
    <row r="424" ht="15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</row>
    <row r="425" ht="15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</row>
    <row r="426" ht="15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</row>
    <row r="427" ht="15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</row>
    <row r="428" ht="15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</row>
    <row r="429" ht="15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</row>
    <row r="430" ht="15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</row>
    <row r="431" ht="15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</row>
    <row r="432" ht="15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</row>
    <row r="433" ht="15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</row>
    <row r="434" ht="15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</row>
    <row r="435" ht="15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</row>
    <row r="436" ht="15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</row>
    <row r="437" ht="15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</row>
    <row r="438" ht="15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</row>
    <row r="439" ht="15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</row>
    <row r="440" ht="15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</row>
    <row r="441" ht="15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</row>
    <row r="442" ht="15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</row>
    <row r="443" ht="15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</row>
    <row r="444" ht="15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</row>
    <row r="445" ht="15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</row>
    <row r="446" ht="15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</row>
    <row r="447" ht="15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</row>
    <row r="448" ht="15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</row>
    <row r="449" ht="15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</row>
    <row r="450" ht="15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</row>
    <row r="451" ht="15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</row>
    <row r="452" ht="15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</row>
    <row r="453" ht="15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</row>
    <row r="454" ht="15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</row>
    <row r="455" ht="15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</row>
    <row r="456" ht="15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</row>
    <row r="457" ht="15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</row>
    <row r="458" ht="15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</row>
    <row r="459" ht="15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</row>
    <row r="460" ht="15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</row>
    <row r="461" ht="15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</row>
    <row r="462" ht="15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</row>
    <row r="463" ht="15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</row>
    <row r="464" ht="15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</row>
    <row r="465" ht="15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</row>
    <row r="466" ht="15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</row>
    <row r="467" ht="15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</row>
    <row r="468" ht="15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</row>
    <row r="469" ht="15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</row>
    <row r="470" ht="15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</row>
    <row r="471" ht="15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</row>
    <row r="472" ht="15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</row>
    <row r="473" ht="15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</row>
    <row r="474" ht="15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</row>
    <row r="475" ht="15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</row>
    <row r="476" ht="15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</row>
    <row r="477" ht="15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</row>
    <row r="478" ht="15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</row>
    <row r="479" ht="15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</row>
    <row r="480" ht="15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</row>
    <row r="481" ht="15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</row>
    <row r="482" ht="15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</row>
    <row r="483" ht="15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</row>
    <row r="484" ht="15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</row>
    <row r="485" ht="15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</row>
    <row r="486" ht="15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</row>
    <row r="487" ht="15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</row>
    <row r="488" ht="15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</row>
    <row r="489" ht="15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</row>
    <row r="490" ht="15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</row>
    <row r="491" ht="15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</row>
    <row r="492" ht="15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</row>
    <row r="493" ht="15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</row>
    <row r="494" ht="15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</row>
    <row r="495" ht="15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</row>
    <row r="496" ht="15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</row>
    <row r="497" ht="15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</row>
    <row r="498" ht="15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</row>
    <row r="499" ht="15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</row>
    <row r="500" ht="15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</row>
    <row r="501" ht="15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</row>
    <row r="502" ht="15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</row>
    <row r="503" ht="15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</row>
    <row r="504" ht="15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</row>
    <row r="505" ht="15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</row>
    <row r="506" ht="15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</row>
    <row r="507" ht="15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</row>
    <row r="508" ht="15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</row>
    <row r="509" ht="15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</row>
    <row r="510" ht="15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</row>
    <row r="511" ht="15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</row>
    <row r="512" ht="15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</row>
    <row r="513" ht="15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</row>
    <row r="514" ht="15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</row>
    <row r="515" ht="15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</row>
    <row r="516" ht="15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</row>
    <row r="517" ht="15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</row>
    <row r="518" ht="15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</row>
    <row r="519" ht="15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</row>
    <row r="520" ht="15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</row>
    <row r="521" ht="15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</row>
    <row r="522" ht="15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</row>
    <row r="523" ht="15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</row>
    <row r="524" ht="15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</row>
    <row r="525" ht="15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</row>
    <row r="526" ht="15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</row>
    <row r="527" ht="15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</row>
    <row r="528" ht="15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</row>
    <row r="529" ht="15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</row>
    <row r="530" ht="15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</row>
    <row r="531" ht="15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</row>
    <row r="532" ht="15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</row>
    <row r="533" ht="15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</row>
    <row r="534" ht="15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</row>
    <row r="535" ht="15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</row>
    <row r="536" ht="15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</row>
    <row r="537" ht="15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</row>
    <row r="538" ht="15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</row>
    <row r="539" ht="15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</row>
    <row r="540" ht="15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</row>
    <row r="541" ht="15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</row>
    <row r="542" ht="15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</row>
    <row r="543" ht="15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</row>
    <row r="544" ht="15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</row>
    <row r="545" ht="15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</row>
    <row r="546" ht="15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</row>
    <row r="547" ht="15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</row>
    <row r="548" ht="15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</row>
    <row r="549" ht="15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</row>
    <row r="550" ht="15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</row>
    <row r="551" ht="15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</row>
    <row r="552" ht="15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</row>
    <row r="553" ht="15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</row>
    <row r="554" ht="15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</row>
    <row r="555" ht="15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</row>
    <row r="556" ht="15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</row>
    <row r="557" ht="15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</row>
    <row r="558" ht="15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</row>
    <row r="559" ht="15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</row>
    <row r="560" ht="15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</row>
    <row r="561" ht="15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</row>
    <row r="562" ht="15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</row>
    <row r="563" ht="15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</row>
    <row r="564" ht="15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</row>
    <row r="565" ht="15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</row>
    <row r="566" ht="15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</row>
    <row r="567" ht="15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</row>
    <row r="568" ht="15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</row>
    <row r="569" ht="15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</row>
    <row r="570" ht="15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</row>
    <row r="571" ht="15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</row>
    <row r="572" ht="15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</row>
    <row r="573" ht="15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</row>
    <row r="574" ht="15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</row>
    <row r="575" ht="15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</row>
    <row r="576" ht="15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</row>
    <row r="577" ht="15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</row>
    <row r="578" ht="15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</row>
    <row r="579" ht="15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</row>
    <row r="580" ht="15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</row>
    <row r="581" ht="15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</row>
    <row r="582" ht="15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</row>
    <row r="583" ht="15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</row>
    <row r="584" ht="15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</row>
    <row r="585" ht="15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</row>
    <row r="586" ht="15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</row>
    <row r="587" ht="15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</row>
    <row r="588" ht="15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</row>
    <row r="589" ht="15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</row>
    <row r="590" ht="15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</row>
    <row r="591" ht="15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</row>
    <row r="592" ht="15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</row>
    <row r="593" ht="15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</row>
    <row r="594" ht="15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</row>
    <row r="595" ht="15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</row>
    <row r="596" ht="15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</row>
    <row r="597" ht="15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</row>
    <row r="598" ht="15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</row>
    <row r="599" ht="15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</row>
    <row r="600" ht="15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</row>
    <row r="601" ht="15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</row>
    <row r="602" ht="15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</row>
    <row r="603" ht="15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</row>
    <row r="604" ht="15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</row>
    <row r="605" ht="15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</row>
    <row r="606" ht="15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</row>
    <row r="607" ht="15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</row>
    <row r="608" ht="15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</row>
    <row r="609" ht="15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</row>
    <row r="610" ht="15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</row>
    <row r="611" ht="15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</row>
    <row r="612" ht="15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</row>
    <row r="613" ht="15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</row>
    <row r="614" ht="15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</row>
    <row r="615" ht="15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</row>
    <row r="616" ht="15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</row>
    <row r="617" ht="15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</row>
    <row r="618" ht="15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</row>
    <row r="619" ht="15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</row>
    <row r="620" ht="15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</row>
    <row r="621" ht="15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</row>
    <row r="622" ht="15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</row>
    <row r="623" ht="15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</row>
    <row r="624" ht="15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</row>
    <row r="625" ht="15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</row>
    <row r="626" ht="15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</row>
    <row r="627" ht="15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</row>
    <row r="628" ht="15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</row>
    <row r="629" ht="15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</row>
    <row r="630" ht="15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</row>
    <row r="631" ht="15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</row>
    <row r="632" ht="15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</row>
    <row r="633" ht="15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</row>
    <row r="634" ht="15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</row>
    <row r="635" ht="15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</row>
    <row r="636" ht="15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</row>
    <row r="637" ht="15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</row>
    <row r="638" ht="15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</row>
    <row r="639" ht="15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</row>
    <row r="640" ht="15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</row>
    <row r="641" ht="15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</row>
    <row r="642" ht="15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</row>
    <row r="643" ht="15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</row>
    <row r="644" ht="15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</row>
    <row r="645" ht="15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</row>
    <row r="646" ht="15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</row>
    <row r="647" ht="15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</row>
    <row r="648" ht="15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</row>
    <row r="649" ht="15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</row>
    <row r="650" ht="15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</row>
    <row r="651" ht="15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</row>
    <row r="652" ht="15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</row>
    <row r="653" ht="15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</row>
    <row r="654" ht="15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</row>
    <row r="655" ht="15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</row>
    <row r="656" ht="15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</row>
    <row r="657" ht="15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</row>
    <row r="658" ht="15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</row>
    <row r="659" ht="15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</row>
    <row r="660" ht="15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</row>
    <row r="661" ht="15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</row>
    <row r="662" ht="15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</row>
    <row r="663" ht="15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</row>
    <row r="664" ht="15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</row>
    <row r="665" ht="15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</row>
    <row r="666" ht="15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</row>
    <row r="667" ht="15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</row>
    <row r="668" ht="15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</row>
    <row r="669" ht="15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</row>
    <row r="670" ht="15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</row>
    <row r="671" ht="15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</row>
    <row r="672" ht="15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</row>
    <row r="673" ht="15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</row>
    <row r="674" ht="15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</row>
    <row r="675" ht="15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</row>
    <row r="676" ht="15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</row>
    <row r="677" ht="15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</row>
    <row r="678" ht="15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</row>
    <row r="679" ht="15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</row>
    <row r="680" ht="15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</row>
    <row r="681" ht="15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</row>
    <row r="682" ht="15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</row>
    <row r="683" ht="15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</row>
    <row r="684" ht="15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</row>
    <row r="685" ht="15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</row>
    <row r="686" ht="15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</row>
    <row r="687" ht="15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</row>
    <row r="688" ht="15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</row>
    <row r="689" ht="15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</row>
    <row r="690" ht="15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</row>
    <row r="691" ht="15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</row>
    <row r="692" ht="15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</row>
    <row r="693" ht="15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</row>
    <row r="694" ht="15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</row>
    <row r="695" ht="15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</row>
    <row r="696" ht="15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</row>
    <row r="697" ht="15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</row>
    <row r="698" ht="15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</row>
    <row r="699" ht="15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</row>
    <row r="700" ht="15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</row>
    <row r="701" ht="15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</row>
    <row r="702" ht="15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</row>
    <row r="703" ht="15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</row>
    <row r="704" ht="15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</row>
    <row r="705" ht="15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</row>
    <row r="706" ht="15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</row>
    <row r="707" ht="15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</row>
    <row r="708" ht="15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</row>
    <row r="709" ht="15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</row>
    <row r="710" ht="15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</row>
    <row r="711" ht="15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</row>
    <row r="712" ht="15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</row>
    <row r="713" ht="15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</row>
    <row r="714" ht="15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</row>
    <row r="715" ht="15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</row>
    <row r="716" ht="15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</row>
    <row r="717" ht="15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</row>
    <row r="718" ht="15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</row>
    <row r="719" ht="15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</row>
    <row r="720" ht="15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</row>
    <row r="721" ht="15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</row>
    <row r="722" ht="15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</row>
    <row r="723" ht="15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</row>
    <row r="724" ht="15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</row>
    <row r="725" ht="15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</row>
    <row r="726" ht="15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</row>
    <row r="727" ht="15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</row>
    <row r="728" ht="15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</row>
    <row r="729" ht="15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</row>
    <row r="730" ht="15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</row>
    <row r="731" ht="15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</row>
    <row r="732" ht="15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</row>
    <row r="733" ht="15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</row>
    <row r="734" ht="15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</row>
    <row r="735" ht="15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</row>
    <row r="736" ht="15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</row>
    <row r="737" ht="15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</row>
    <row r="738" ht="15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</row>
    <row r="739" ht="15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</row>
    <row r="740" ht="15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</row>
    <row r="741" ht="15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</row>
    <row r="742" ht="15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</row>
    <row r="743" ht="15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</row>
    <row r="744" ht="15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</row>
    <row r="745" ht="15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</row>
    <row r="746" ht="15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</row>
    <row r="747" ht="15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</row>
    <row r="748" ht="15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</row>
    <row r="749" ht="15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</row>
    <row r="750" ht="15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</row>
    <row r="751" ht="15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</row>
    <row r="752" ht="15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</row>
    <row r="753" ht="15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</row>
    <row r="754" ht="15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</row>
    <row r="755" ht="15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</row>
    <row r="756" ht="15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</row>
    <row r="757" ht="15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</row>
    <row r="758" ht="15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</row>
    <row r="759" ht="15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</row>
    <row r="760" ht="15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</row>
    <row r="761" ht="15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</row>
    <row r="762" ht="15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</row>
    <row r="763" ht="15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</row>
    <row r="764" ht="15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</row>
    <row r="765" ht="15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</row>
    <row r="766" ht="15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</row>
    <row r="767" ht="15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</row>
    <row r="768" ht="15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</row>
    <row r="769" ht="15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</row>
    <row r="770" ht="15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</row>
    <row r="771" ht="15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</row>
    <row r="772" ht="15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</row>
    <row r="773" ht="15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</row>
    <row r="774" ht="15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</row>
    <row r="775" ht="15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</row>
    <row r="776" ht="15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</row>
    <row r="777" ht="15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</row>
    <row r="778" ht="15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</row>
    <row r="779" ht="15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</row>
    <row r="780" ht="15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</row>
    <row r="781" ht="15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</row>
    <row r="782" ht="15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</row>
    <row r="783" ht="15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</row>
    <row r="784" ht="15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</row>
    <row r="785" ht="15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</row>
    <row r="786" ht="15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</row>
    <row r="787" ht="15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</row>
    <row r="788" ht="15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</row>
    <row r="789" ht="15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</row>
    <row r="790" ht="15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</row>
    <row r="791" ht="15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</row>
    <row r="792" ht="15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</row>
    <row r="793" ht="15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</row>
    <row r="794" ht="15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</row>
    <row r="795" ht="15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</row>
    <row r="796" ht="15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</row>
    <row r="797" ht="15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</row>
    <row r="798" ht="15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</row>
    <row r="799" ht="15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</row>
    <row r="800" ht="15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</row>
    <row r="801" ht="15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</row>
    <row r="802" ht="15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</row>
    <row r="803" ht="15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</row>
    <row r="804" ht="15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</row>
    <row r="805" ht="15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</row>
    <row r="806" ht="15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</row>
    <row r="807" ht="15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</row>
    <row r="808" ht="15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</row>
    <row r="809" ht="15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</row>
    <row r="810" ht="15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</row>
    <row r="811" ht="15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</row>
    <row r="812" ht="15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</row>
    <row r="813" ht="15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</row>
    <row r="814" ht="15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</row>
    <row r="815" ht="15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</row>
    <row r="816" ht="15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</row>
    <row r="817" ht="15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</row>
    <row r="818" ht="15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</row>
    <row r="819" ht="15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</row>
    <row r="820" ht="15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</row>
    <row r="821" ht="15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</row>
    <row r="822" ht="15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</row>
    <row r="823" ht="15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</row>
    <row r="824" ht="15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</row>
    <row r="825" ht="15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</row>
    <row r="826" ht="15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</row>
    <row r="827" ht="15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</row>
    <row r="828" ht="15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</row>
    <row r="829" ht="15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</row>
    <row r="830" ht="15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</row>
    <row r="831" ht="15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</row>
    <row r="832" ht="15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</row>
    <row r="833" ht="15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</row>
    <row r="834" ht="15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</row>
    <row r="835" ht="15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</row>
    <row r="836" ht="15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</row>
    <row r="837" ht="15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</row>
    <row r="838" ht="15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</row>
    <row r="839" ht="15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</row>
    <row r="840" ht="15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</row>
    <row r="841" ht="15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</row>
    <row r="842" ht="15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</row>
    <row r="843" ht="15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</row>
    <row r="844" ht="15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</row>
    <row r="845" ht="15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  <c r="AG845" s="118"/>
    </row>
    <row r="846" ht="15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  <c r="AG846" s="118"/>
    </row>
    <row r="847" ht="15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  <c r="AG847" s="118"/>
    </row>
    <row r="848" ht="15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  <c r="AG848" s="118"/>
    </row>
    <row r="849" ht="15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  <c r="AG849" s="118"/>
    </row>
    <row r="850" ht="15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  <c r="AG850" s="118"/>
    </row>
    <row r="851" ht="15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  <c r="AG851" s="118"/>
    </row>
    <row r="852" ht="15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  <c r="AG852" s="118"/>
    </row>
    <row r="853" ht="15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  <c r="AG853" s="118"/>
    </row>
    <row r="854" ht="15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  <c r="AG854" s="118"/>
    </row>
    <row r="855" ht="15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  <c r="AG855" s="118"/>
    </row>
    <row r="856" ht="15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</row>
    <row r="857" ht="15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</row>
    <row r="858" ht="15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</row>
    <row r="859" ht="15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</row>
    <row r="860" ht="15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</row>
    <row r="861" ht="15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</row>
    <row r="862" ht="15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</row>
    <row r="863" ht="15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</row>
    <row r="864" ht="15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</row>
    <row r="865" ht="15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</row>
    <row r="866" ht="15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</row>
    <row r="867" ht="15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</row>
    <row r="868" ht="15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</row>
    <row r="869" ht="15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</row>
    <row r="870" ht="15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</row>
    <row r="871" ht="15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</row>
    <row r="872" ht="15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</row>
    <row r="873" ht="15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</row>
    <row r="874" ht="15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</row>
    <row r="875" ht="15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</row>
    <row r="876" ht="15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</row>
    <row r="877" ht="15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  <c r="AG877" s="118"/>
    </row>
    <row r="878" ht="15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  <c r="AG878" s="118"/>
    </row>
    <row r="879" ht="15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  <c r="AG879" s="118"/>
    </row>
    <row r="880" ht="15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  <c r="AG880" s="118"/>
    </row>
    <row r="881" ht="15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  <c r="AG881" s="118"/>
    </row>
    <row r="882" ht="15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  <c r="AG882" s="118"/>
    </row>
    <row r="883" ht="15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  <c r="AG883" s="118"/>
    </row>
    <row r="884" ht="15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  <c r="AG884" s="118"/>
    </row>
    <row r="885" ht="15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  <c r="AG885" s="118"/>
    </row>
    <row r="886" ht="15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  <c r="AG886" s="118"/>
    </row>
    <row r="887" ht="15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</row>
    <row r="888" ht="15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  <c r="AG888" s="118"/>
    </row>
    <row r="889" ht="15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  <c r="AG889" s="118"/>
    </row>
    <row r="890" ht="15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  <c r="AG890" s="118"/>
    </row>
    <row r="891" ht="15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  <c r="AG891" s="118"/>
    </row>
    <row r="892" ht="15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  <c r="AG892" s="118"/>
    </row>
    <row r="893" ht="15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  <c r="AG893" s="118"/>
    </row>
    <row r="894" ht="15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  <c r="AG894" s="118"/>
    </row>
    <row r="895" ht="15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  <c r="AG895" s="118"/>
    </row>
    <row r="896" ht="15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  <c r="AG896" s="118"/>
    </row>
    <row r="897" ht="15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  <c r="AG897" s="118"/>
    </row>
    <row r="898" ht="15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  <c r="AG898" s="118"/>
    </row>
    <row r="899" ht="15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  <c r="AG899" s="118"/>
    </row>
    <row r="900" ht="15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  <c r="AG900" s="118"/>
    </row>
    <row r="901" ht="15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  <c r="AG901" s="118"/>
    </row>
    <row r="902" ht="15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  <c r="AG902" s="118"/>
    </row>
    <row r="903" ht="15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  <c r="AG903" s="118"/>
    </row>
    <row r="904" ht="15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  <c r="AG904" s="118"/>
    </row>
    <row r="905" ht="15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  <c r="AG905" s="118"/>
    </row>
    <row r="906" ht="15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  <c r="AG906" s="118"/>
    </row>
    <row r="907" ht="15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  <c r="AG907" s="118"/>
    </row>
    <row r="908" ht="15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  <c r="AG908" s="118"/>
    </row>
    <row r="909" ht="15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  <c r="AG909" s="118"/>
    </row>
    <row r="910" ht="15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  <c r="AG910" s="118"/>
    </row>
    <row r="911" ht="15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  <c r="AG911" s="118"/>
    </row>
    <row r="912" ht="15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  <c r="AG912" s="118"/>
    </row>
    <row r="913" ht="15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  <c r="AG913" s="118"/>
    </row>
    <row r="914" ht="15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  <c r="AG914" s="118"/>
    </row>
    <row r="915" ht="15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  <c r="AG915" s="118"/>
    </row>
    <row r="916" ht="15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  <c r="AG916" s="118"/>
    </row>
    <row r="917" ht="15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  <c r="AG917" s="118"/>
    </row>
    <row r="918" ht="15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  <c r="AG918" s="118"/>
    </row>
    <row r="919" ht="15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  <c r="AG919" s="118"/>
    </row>
    <row r="920" ht="15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  <c r="AG920" s="118"/>
    </row>
    <row r="921" ht="15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  <c r="AG921" s="118"/>
    </row>
    <row r="922" ht="15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  <c r="AG922" s="118"/>
    </row>
    <row r="923" ht="15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  <c r="AG923" s="118"/>
    </row>
    <row r="924" ht="15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  <c r="AG924" s="118"/>
    </row>
    <row r="925" ht="15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  <c r="AG925" s="118"/>
    </row>
    <row r="926" ht="15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  <c r="AG926" s="118"/>
    </row>
    <row r="927" ht="15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  <c r="AG927" s="118"/>
    </row>
    <row r="928" ht="15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  <c r="AF928" s="118"/>
      <c r="AG928" s="118"/>
    </row>
    <row r="929" ht="15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  <c r="AF929" s="118"/>
      <c r="AG929" s="118"/>
    </row>
    <row r="930" ht="15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  <c r="AF930" s="118"/>
      <c r="AG930" s="118"/>
    </row>
    <row r="931" ht="15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  <c r="AF931" s="118"/>
      <c r="AG931" s="118"/>
    </row>
    <row r="932" ht="15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  <c r="AF932" s="118"/>
      <c r="AG932" s="118"/>
    </row>
    <row r="933" ht="15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  <c r="AF933" s="118"/>
      <c r="AG933" s="118"/>
    </row>
    <row r="934" ht="15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  <c r="AF934" s="118"/>
      <c r="AG934" s="118"/>
    </row>
    <row r="935" ht="15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  <c r="AF935" s="118"/>
      <c r="AG935" s="118"/>
    </row>
    <row r="936" ht="15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  <c r="AF936" s="118"/>
      <c r="AG936" s="118"/>
    </row>
    <row r="937" ht="15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  <c r="AF937" s="118"/>
      <c r="AG937" s="118"/>
    </row>
    <row r="938" ht="15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  <c r="AF938" s="118"/>
      <c r="AG938" s="118"/>
    </row>
    <row r="939" ht="15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  <c r="AF939" s="118"/>
      <c r="AG939" s="118"/>
    </row>
    <row r="940" ht="15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  <c r="AF940" s="118"/>
      <c r="AG940" s="118"/>
    </row>
    <row r="941" ht="15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  <c r="AF941" s="118"/>
      <c r="AG941" s="118"/>
    </row>
    <row r="942" ht="15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  <c r="AF942" s="118"/>
      <c r="AG942" s="118"/>
    </row>
    <row r="943" ht="15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  <c r="AF943" s="118"/>
      <c r="AG943" s="118"/>
    </row>
    <row r="944" ht="15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  <c r="AG944" s="118"/>
    </row>
    <row r="945" ht="15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  <c r="AG945" s="118"/>
    </row>
    <row r="946" ht="15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  <c r="AG946" s="118"/>
    </row>
    <row r="947" ht="15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  <c r="AG947" s="118"/>
    </row>
    <row r="948" ht="15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  <c r="AG948" s="118"/>
    </row>
    <row r="949" ht="15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  <c r="AG949" s="118"/>
    </row>
    <row r="950" ht="15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  <c r="AG950" s="118"/>
    </row>
    <row r="951" ht="15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  <c r="AG951" s="118"/>
    </row>
    <row r="952" ht="15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  <c r="AG952" s="118"/>
    </row>
    <row r="953" ht="15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  <c r="AG953" s="118"/>
    </row>
    <row r="954" ht="15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  <c r="AG954" s="118"/>
    </row>
    <row r="955" ht="15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  <c r="AG955" s="118"/>
    </row>
    <row r="956" ht="15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  <c r="AG956" s="118"/>
    </row>
    <row r="957" ht="15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  <c r="AG957" s="118"/>
    </row>
    <row r="958" ht="15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  <c r="AG958" s="118"/>
    </row>
    <row r="959" ht="15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  <c r="AG959" s="118"/>
    </row>
    <row r="960" ht="15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  <c r="AG960" s="118"/>
    </row>
    <row r="961" ht="15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  <c r="AG961" s="118"/>
    </row>
    <row r="962" ht="15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  <c r="AG962" s="118"/>
    </row>
    <row r="963" ht="15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  <c r="AG963" s="118"/>
    </row>
    <row r="964" ht="15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  <c r="AG964" s="118"/>
    </row>
    <row r="965" ht="15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  <c r="AG965" s="118"/>
    </row>
    <row r="966" ht="15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  <c r="AG966" s="118"/>
    </row>
    <row r="967" ht="15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  <c r="AG967" s="118"/>
    </row>
    <row r="968" ht="15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  <c r="AG968" s="118"/>
    </row>
    <row r="969" ht="15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  <c r="AG969" s="118"/>
    </row>
    <row r="970" ht="15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  <c r="AG970" s="118"/>
    </row>
    <row r="971" ht="15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  <c r="AG971" s="118"/>
    </row>
    <row r="972" ht="15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  <c r="AG972" s="118"/>
    </row>
    <row r="973" ht="15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  <c r="AG973" s="118"/>
    </row>
    <row r="974" ht="15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  <c r="AG974" s="118"/>
    </row>
    <row r="975" ht="15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  <c r="AG975" s="118"/>
    </row>
    <row r="976" ht="15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  <c r="AG976" s="118"/>
    </row>
    <row r="977" ht="15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  <c r="AG977" s="118"/>
    </row>
    <row r="978" ht="15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  <c r="AG978" s="118"/>
    </row>
    <row r="979" ht="15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  <c r="AG979" s="118"/>
    </row>
    <row r="980" ht="15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  <c r="AG980" s="118"/>
    </row>
    <row r="981" ht="15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  <c r="AG981" s="118"/>
    </row>
    <row r="982" ht="15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  <c r="AG982" s="118"/>
    </row>
    <row r="983" ht="15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  <c r="AG983" s="118"/>
    </row>
    <row r="984" ht="15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  <c r="AG984" s="118"/>
    </row>
    <row r="985" ht="15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  <c r="AG985" s="118"/>
    </row>
    <row r="986" ht="15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  <c r="AG986" s="118"/>
    </row>
    <row r="987" ht="15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  <c r="AG987" s="118"/>
    </row>
    <row r="988" ht="15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  <c r="AG988" s="118"/>
    </row>
    <row r="989" ht="15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  <c r="AF989" s="118"/>
      <c r="AG989" s="118"/>
    </row>
    <row r="990" ht="15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  <c r="AG990" s="118"/>
    </row>
    <row r="991" ht="15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  <c r="AF991" s="118"/>
      <c r="AG991" s="118"/>
    </row>
    <row r="992" ht="15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  <c r="AF992" s="118"/>
      <c r="AG992" s="118"/>
    </row>
    <row r="993" ht="15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  <c r="AF993" s="118"/>
      <c r="AG993" s="118"/>
    </row>
    <row r="994" ht="15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  <c r="AF994" s="118"/>
      <c r="AG994" s="118"/>
    </row>
    <row r="995" ht="15.7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  <c r="AF995" s="118"/>
      <c r="AG995" s="118"/>
    </row>
    <row r="996" ht="15.7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  <c r="AF996" s="118"/>
      <c r="AG996" s="118"/>
    </row>
    <row r="997" ht="15.7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  <c r="AF997" s="118"/>
      <c r="AG997" s="118"/>
    </row>
    <row r="998" ht="15.7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  <c r="AF998" s="118"/>
      <c r="AG998" s="118"/>
    </row>
    <row r="999" ht="15.75" customHeight="1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  <c r="AE999" s="118"/>
      <c r="AF999" s="118"/>
      <c r="AG999" s="118"/>
    </row>
    <row r="1000" ht="15.75" customHeight="1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18"/>
      <c r="AC1000" s="118"/>
      <c r="AD1000" s="118"/>
      <c r="AE1000" s="118"/>
      <c r="AF1000" s="118"/>
      <c r="AG1000" s="118"/>
    </row>
    <row r="1001" ht="15.75" customHeight="1">
      <c r="A1001" s="118"/>
      <c r="B1001" s="118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  <c r="AA1001" s="118"/>
      <c r="AB1001" s="118"/>
      <c r="AC1001" s="118"/>
      <c r="AD1001" s="118"/>
      <c r="AE1001" s="118"/>
      <c r="AF1001" s="118"/>
      <c r="AG1001" s="118"/>
    </row>
    <row r="1002" ht="15.75" customHeight="1">
      <c r="A1002" s="118"/>
      <c r="B1002" s="118"/>
      <c r="C1002" s="118"/>
      <c r="D1002" s="118"/>
      <c r="E1002" s="118"/>
      <c r="F1002" s="118"/>
      <c r="G1002" s="118"/>
      <c r="H1002" s="118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  <c r="AA1002" s="118"/>
      <c r="AB1002" s="118"/>
      <c r="AC1002" s="118"/>
      <c r="AD1002" s="118"/>
      <c r="AE1002" s="118"/>
      <c r="AF1002" s="118"/>
      <c r="AG1002" s="118"/>
    </row>
    <row r="1003" ht="15.75" customHeight="1">
      <c r="A1003" s="118"/>
      <c r="B1003" s="118"/>
      <c r="C1003" s="118"/>
      <c r="D1003" s="118"/>
      <c r="E1003" s="118"/>
      <c r="F1003" s="118"/>
      <c r="G1003" s="118"/>
      <c r="H1003" s="118"/>
      <c r="I1003" s="118"/>
      <c r="J1003" s="118"/>
      <c r="K1003" s="118"/>
      <c r="L1003" s="118"/>
      <c r="M1003" s="118"/>
      <c r="N1003" s="118"/>
      <c r="O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  <c r="Y1003" s="118"/>
      <c r="Z1003" s="118"/>
      <c r="AA1003" s="118"/>
      <c r="AB1003" s="118"/>
      <c r="AC1003" s="118"/>
      <c r="AD1003" s="118"/>
      <c r="AE1003" s="118"/>
      <c r="AF1003" s="118"/>
      <c r="AG1003" s="118"/>
    </row>
    <row r="1004" ht="15.75" customHeight="1">
      <c r="A1004" s="118"/>
      <c r="B1004" s="118"/>
      <c r="C1004" s="118"/>
      <c r="D1004" s="118"/>
      <c r="E1004" s="118"/>
      <c r="F1004" s="118"/>
      <c r="G1004" s="118"/>
      <c r="H1004" s="118"/>
      <c r="I1004" s="118"/>
      <c r="J1004" s="118"/>
      <c r="K1004" s="118"/>
      <c r="L1004" s="118"/>
      <c r="M1004" s="118"/>
      <c r="N1004" s="118"/>
      <c r="O1004" s="118"/>
      <c r="P1004" s="118"/>
      <c r="Q1004" s="118"/>
      <c r="R1004" s="118"/>
      <c r="S1004" s="118"/>
      <c r="T1004" s="118"/>
      <c r="U1004" s="118"/>
      <c r="V1004" s="118"/>
      <c r="W1004" s="118"/>
      <c r="X1004" s="118"/>
      <c r="Y1004" s="118"/>
      <c r="Z1004" s="118"/>
      <c r="AA1004" s="118"/>
      <c r="AB1004" s="118"/>
      <c r="AC1004" s="118"/>
      <c r="AD1004" s="118"/>
      <c r="AE1004" s="118"/>
      <c r="AF1004" s="118"/>
      <c r="AG1004" s="118"/>
    </row>
    <row r="1005" ht="15.75" customHeight="1">
      <c r="A1005" s="118"/>
      <c r="B1005" s="118"/>
      <c r="C1005" s="118"/>
      <c r="D1005" s="118"/>
      <c r="E1005" s="118"/>
      <c r="F1005" s="118"/>
      <c r="G1005" s="118"/>
      <c r="H1005" s="118"/>
      <c r="I1005" s="118"/>
      <c r="J1005" s="118"/>
      <c r="K1005" s="118"/>
      <c r="L1005" s="118"/>
      <c r="M1005" s="118"/>
      <c r="N1005" s="118"/>
      <c r="O1005" s="118"/>
      <c r="P1005" s="118"/>
      <c r="Q1005" s="118"/>
      <c r="R1005" s="118"/>
      <c r="S1005" s="118"/>
      <c r="T1005" s="118"/>
      <c r="U1005" s="118"/>
      <c r="V1005" s="118"/>
      <c r="W1005" s="118"/>
      <c r="X1005" s="118"/>
      <c r="Y1005" s="118"/>
      <c r="Z1005" s="118"/>
      <c r="AA1005" s="118"/>
      <c r="AB1005" s="118"/>
      <c r="AC1005" s="118"/>
      <c r="AD1005" s="118"/>
      <c r="AE1005" s="118"/>
      <c r="AF1005" s="118"/>
      <c r="AG1005" s="118"/>
    </row>
    <row r="1006" ht="15.75" customHeight="1">
      <c r="A1006" s="118"/>
      <c r="B1006" s="118"/>
      <c r="C1006" s="118"/>
      <c r="D1006" s="118"/>
      <c r="E1006" s="118"/>
      <c r="F1006" s="118"/>
      <c r="G1006" s="118"/>
      <c r="H1006" s="118"/>
      <c r="I1006" s="118"/>
      <c r="J1006" s="118"/>
      <c r="K1006" s="118"/>
      <c r="L1006" s="118"/>
      <c r="M1006" s="118"/>
      <c r="N1006" s="118"/>
      <c r="O1006" s="118"/>
      <c r="P1006" s="118"/>
      <c r="Q1006" s="118"/>
      <c r="R1006" s="118"/>
      <c r="S1006" s="118"/>
      <c r="T1006" s="118"/>
      <c r="U1006" s="118"/>
      <c r="V1006" s="118"/>
      <c r="W1006" s="118"/>
      <c r="X1006" s="118"/>
      <c r="Y1006" s="118"/>
      <c r="Z1006" s="118"/>
      <c r="AA1006" s="118"/>
      <c r="AB1006" s="118"/>
      <c r="AC1006" s="118"/>
      <c r="AD1006" s="118"/>
      <c r="AE1006" s="118"/>
      <c r="AF1006" s="118"/>
      <c r="AG1006" s="118"/>
    </row>
    <row r="1007" ht="15.75" customHeight="1">
      <c r="A1007" s="118"/>
      <c r="B1007" s="118"/>
      <c r="C1007" s="118"/>
      <c r="D1007" s="118"/>
      <c r="E1007" s="118"/>
      <c r="F1007" s="118"/>
      <c r="G1007" s="118"/>
      <c r="H1007" s="118"/>
      <c r="I1007" s="118"/>
      <c r="J1007" s="118"/>
      <c r="K1007" s="118"/>
      <c r="L1007" s="118"/>
      <c r="M1007" s="118"/>
      <c r="N1007" s="118"/>
      <c r="O1007" s="118"/>
      <c r="P1007" s="118"/>
      <c r="Q1007" s="118"/>
      <c r="R1007" s="118"/>
      <c r="S1007" s="118"/>
      <c r="T1007" s="118"/>
      <c r="U1007" s="118"/>
      <c r="V1007" s="118"/>
      <c r="W1007" s="118"/>
      <c r="X1007" s="118"/>
      <c r="Y1007" s="118"/>
      <c r="Z1007" s="118"/>
      <c r="AA1007" s="118"/>
      <c r="AB1007" s="118"/>
      <c r="AC1007" s="118"/>
      <c r="AD1007" s="118"/>
      <c r="AE1007" s="118"/>
      <c r="AF1007" s="118"/>
      <c r="AG1007" s="118"/>
    </row>
  </sheetData>
  <mergeCells count="24">
    <mergeCell ref="D1:J1"/>
    <mergeCell ref="K1:M1"/>
    <mergeCell ref="R2:S2"/>
    <mergeCell ref="R3:S3"/>
    <mergeCell ref="R4:S4"/>
    <mergeCell ref="R5:S5"/>
    <mergeCell ref="R6:S6"/>
    <mergeCell ref="R7:S7"/>
    <mergeCell ref="R8:S8"/>
    <mergeCell ref="R13:S13"/>
    <mergeCell ref="R14:S14"/>
    <mergeCell ref="R15:S15"/>
    <mergeCell ref="R16:S16"/>
    <mergeCell ref="R17:S17"/>
    <mergeCell ref="R29:S29"/>
    <mergeCell ref="R30:S30"/>
    <mergeCell ref="Q36:S36"/>
    <mergeCell ref="R18:S18"/>
    <mergeCell ref="R19:S19"/>
    <mergeCell ref="R21:S21"/>
    <mergeCell ref="R22:S22"/>
    <mergeCell ref="Q26:S26"/>
    <mergeCell ref="R27:S27"/>
    <mergeCell ref="R28:S28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2023-09-08T16:11:37Z</dcterms:created>
  <dc:creator>Russ Steiner</dc:creator>
</cp:coreProperties>
</file>